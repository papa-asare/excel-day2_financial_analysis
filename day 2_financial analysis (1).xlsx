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D:\working\waccache\MR1PEPF0000D622\EXCELCNV\6f8a90b6-b7c0-4569-b23a-69e323fbfc0a\"/>
    </mc:Choice>
  </mc:AlternateContent>
  <xr:revisionPtr revIDLastSave="0" documentId="8_{4E591EE1-17BE-4B50-80A1-BE9B64E1EC5B}" xr6:coauthVersionLast="47" xr6:coauthVersionMax="47" xr10:uidLastSave="{00000000-0000-0000-0000-000000000000}"/>
  <bookViews>
    <workbookView xWindow="-60" yWindow="-60" windowWidth="15480" windowHeight="11640" firstSheet="11" activeTab="11" xr2:uid="{63D5A158-F655-4661-B1DF-30F571FDCBA7}"/>
  </bookViews>
  <sheets>
    <sheet name="Main Work" sheetId="1" r:id="rId1"/>
    <sheet name="Highest Expense Category" sheetId="4" r:id="rId2"/>
    <sheet name="Department with Expenses" sheetId="2" r:id="rId3"/>
    <sheet name="Summary" sheetId="5" r:id="rId4"/>
    <sheet name="Financial Summary" sheetId="6" r:id="rId5"/>
    <sheet name="Monthly Analysis" sheetId="7" r:id="rId6"/>
    <sheet name="Department Budget Analysis" sheetId="8" r:id="rId7"/>
    <sheet name="Category Budget Analysis" sheetId="9" r:id="rId8"/>
    <sheet name="Top Expense Categories" sheetId="10" r:id="rId9"/>
    <sheet name="Expenses by Department" sheetId="11" r:id="rId10"/>
    <sheet name="Management Insight" sheetId="12" r:id="rId11"/>
    <sheet name="Dashboard" sheetId="13" r:id="rId12"/>
  </sheets>
  <calcPr calcId="191028"/>
  <pivotCaches>
    <pivotCache cacheId="23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9" l="1"/>
  <c r="E4" i="9"/>
  <c r="E5" i="9"/>
  <c r="E6" i="9"/>
  <c r="E7" i="9"/>
  <c r="E8" i="9"/>
  <c r="E9" i="9"/>
  <c r="E2" i="9"/>
  <c r="D3" i="9"/>
  <c r="D4" i="9"/>
  <c r="D5" i="9"/>
  <c r="D6" i="9"/>
  <c r="D7" i="9"/>
  <c r="D8" i="9"/>
  <c r="D9" i="9"/>
  <c r="D2" i="9"/>
  <c r="C3" i="9"/>
  <c r="C4" i="9"/>
  <c r="C5" i="9"/>
  <c r="C6" i="9"/>
  <c r="C7" i="9"/>
  <c r="C8" i="9"/>
  <c r="C9" i="9"/>
  <c r="C2" i="9"/>
  <c r="B3" i="9"/>
  <c r="B4" i="9"/>
  <c r="B5" i="9"/>
  <c r="B6" i="9"/>
  <c r="B7" i="9"/>
  <c r="B8" i="9"/>
  <c r="B9" i="9"/>
  <c r="B2" i="9"/>
  <c r="A2" i="9" a="1"/>
  <c r="A2" i="9" s="1"/>
  <c r="E3" i="8"/>
  <c r="E4" i="8"/>
  <c r="E5" i="8"/>
  <c r="E2" i="8"/>
  <c r="D3" i="8"/>
  <c r="D4" i="8"/>
  <c r="D5" i="8"/>
  <c r="D2" i="8"/>
  <c r="C3" i="8"/>
  <c r="C4" i="8"/>
  <c r="C5" i="8"/>
  <c r="C2" i="8"/>
  <c r="B3" i="8"/>
  <c r="B4" i="8"/>
  <c r="B5" i="8"/>
  <c r="B2" i="8"/>
  <c r="A2" i="8" a="1"/>
  <c r="A2" i="8" s="1"/>
  <c r="D3" i="7"/>
  <c r="D4" i="7"/>
  <c r="D5" i="7"/>
  <c r="D6" i="7"/>
  <c r="D7" i="7"/>
  <c r="D8" i="7"/>
  <c r="D9" i="7"/>
  <c r="D10" i="7"/>
  <c r="D11" i="7"/>
  <c r="D12" i="7"/>
  <c r="D13" i="7"/>
  <c r="D2" i="7"/>
  <c r="C3" i="7"/>
  <c r="C4" i="7"/>
  <c r="C5" i="7"/>
  <c r="C6" i="7"/>
  <c r="C7" i="7"/>
  <c r="C8" i="7"/>
  <c r="C9" i="7"/>
  <c r="C10" i="7"/>
  <c r="C11" i="7"/>
  <c r="C12" i="7"/>
  <c r="C13" i="7"/>
  <c r="C2" i="7"/>
  <c r="B3" i="7"/>
  <c r="B4" i="7"/>
  <c r="B5" i="7"/>
  <c r="B6" i="7"/>
  <c r="B7" i="7"/>
  <c r="B8" i="7"/>
  <c r="B9" i="7"/>
  <c r="B10" i="7"/>
  <c r="B11" i="7"/>
  <c r="B12" i="7"/>
  <c r="B13" i="7"/>
  <c r="B2" i="7"/>
  <c r="B5" i="6"/>
  <c r="B4" i="6"/>
  <c r="B3" i="6"/>
  <c r="B2" i="6"/>
  <c r="B9" i="5"/>
  <c r="B8" i="5"/>
  <c r="B7" i="5"/>
  <c r="B6" i="5"/>
  <c r="B5" i="5"/>
  <c r="B4" i="5"/>
  <c r="B3" i="5"/>
  <c r="B2" i="5"/>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2"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3" i="1"/>
  <c r="M4" i="1"/>
  <c r="M5" i="1"/>
  <c r="M6" i="1"/>
  <c r="M7" i="1"/>
  <c r="M8" i="1"/>
  <c r="M9" i="1"/>
  <c r="M10" i="1"/>
  <c r="M11" i="1"/>
  <c r="M12" i="1"/>
  <c r="M13" i="1"/>
  <c r="M14" i="1"/>
  <c r="M15" i="1"/>
  <c r="M16" i="1"/>
  <c r="M17"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<sst xmlns="http://schemas.openxmlformats.org/spreadsheetml/2006/main" count="1374" uniqueCount="257">
  <si>
    <t>Transaction_ID</t>
  </si>
  <si>
    <t>Date</t>
  </si>
  <si>
    <t>Department</t>
  </si>
  <si>
    <t>Category</t>
  </si>
  <si>
    <t>Type</t>
  </si>
  <si>
    <t>Actual_Amount_GHS</t>
  </si>
  <si>
    <t>Budget_Amount_GHS</t>
  </si>
  <si>
    <t>Payment_Method</t>
  </si>
  <si>
    <t>Location</t>
  </si>
  <si>
    <t>Month</t>
  </si>
  <si>
    <t>Year</t>
  </si>
  <si>
    <t>Variance</t>
  </si>
  <si>
    <t>Total Transactions</t>
  </si>
  <si>
    <t>Total Revenue</t>
  </si>
  <si>
    <t>Total Expenses</t>
  </si>
  <si>
    <t>Profit</t>
  </si>
  <si>
    <t>TXN-0001</t>
  </si>
  <si>
    <t>Sales</t>
  </si>
  <si>
    <t>Office Supplies</t>
  </si>
  <si>
    <t>Expense</t>
  </si>
  <si>
    <t>Bank</t>
  </si>
  <si>
    <t>Kumasi</t>
  </si>
  <si>
    <t>Mar</t>
  </si>
  <si>
    <t>TXN-0002</t>
  </si>
  <si>
    <t>Administration</t>
  </si>
  <si>
    <t>Revenue</t>
  </si>
  <si>
    <t>Mobile Money</t>
  </si>
  <si>
    <t>Takoradi</t>
  </si>
  <si>
    <t>Apr</t>
  </si>
  <si>
    <t>TXN-0003</t>
  </si>
  <si>
    <t>Operations</t>
  </si>
  <si>
    <t>Utilities</t>
  </si>
  <si>
    <t>Cash</t>
  </si>
  <si>
    <t>May</t>
  </si>
  <si>
    <t>TXN-0004</t>
  </si>
  <si>
    <t>Rent</t>
  </si>
  <si>
    <t>TXN-0005</t>
  </si>
  <si>
    <t>Finance</t>
  </si>
  <si>
    <t>Marketing</t>
  </si>
  <si>
    <t>Accra</t>
  </si>
  <si>
    <t>Jun</t>
  </si>
  <si>
    <t>TXN-0006</t>
  </si>
  <si>
    <t>Jan</t>
  </si>
  <si>
    <t>TXN-0007</t>
  </si>
  <si>
    <t>TXN-0008</t>
  </si>
  <si>
    <t>TXN-0009</t>
  </si>
  <si>
    <t>TXN-0010</t>
  </si>
  <si>
    <t>Consulting</t>
  </si>
  <si>
    <t>Feb</t>
  </si>
  <si>
    <t>TXN-0011</t>
  </si>
  <si>
    <t>Transport</t>
  </si>
  <si>
    <t>TXN-0012</t>
  </si>
  <si>
    <t>TXN-0013</t>
  </si>
  <si>
    <t>TXN-0014</t>
  </si>
  <si>
    <t>TXN-0015</t>
  </si>
  <si>
    <t>TXN-0016</t>
  </si>
  <si>
    <t>TXN-0017</t>
  </si>
  <si>
    <t>TXN-0018</t>
  </si>
  <si>
    <t>TXN-0019</t>
  </si>
  <si>
    <t>TXN-0020</t>
  </si>
  <si>
    <t>TXN-0021</t>
  </si>
  <si>
    <t>TXN-0022</t>
  </si>
  <si>
    <t>TXN-0023</t>
  </si>
  <si>
    <t>TXN-0024</t>
  </si>
  <si>
    <t>TXN-0025</t>
  </si>
  <si>
    <t>TXN-0026</t>
  </si>
  <si>
    <t>TXN-0027</t>
  </si>
  <si>
    <t>TXN-0028</t>
  </si>
  <si>
    <t>TXN-0029</t>
  </si>
  <si>
    <t>Software</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</si>
  <si>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</si>
  <si>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</si>
  <si>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</si>
  <si>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</si>
  <si>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</si>
  <si>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</si>
  <si>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</si>
  <si>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</si>
  <si>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</si>
  <si>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</si>
  <si>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</si>
  <si>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</si>
  <si>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</si>
  <si>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</si>
  <si>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</si>
  <si>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</si>
  <si>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</si>
  <si>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</si>
  <si>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</si>
  <si>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</si>
  <si>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</si>
  <si>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</si>
  <si>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</si>
  <si>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</si>
  <si>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</si>
  <si>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</si>
  <si>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</si>
  <si>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</si>
  <si>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</si>
  <si>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</si>
  <si>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</si>
  <si>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</si>
  <si>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</si>
  <si>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</si>
  <si>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</si>
  <si>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</si>
  <si>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</si>
  <si>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</si>
  <si>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</si>
  <si>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</si>
  <si>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</si>
  <si>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</si>
  <si>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</si>
  <si>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</si>
  <si>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</si>
  <si>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</si>
  <si>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</si>
  <si>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</si>
  <si>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</si>
  <si>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</si>
  <si>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</si>
  <si>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</si>
  <si>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</si>
  <si>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</si>
  <si>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</si>
  <si>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</si>
  <si>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</si>
  <si>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</si>
  <si>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</si>
  <si>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</si>
  <si>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</si>
  <si>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</si>
  <si>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</si>
  <si>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</si>
  <si>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</si>
  <si>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</si>
  <si>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</si>
  <si>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</si>
  <si>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</si>
  <si>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</si>
  <si>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</si>
  <si>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</si>
  <si>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</si>
  <si>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</si>
  <si>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</si>
  <si>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</si>
  <si>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</si>
  <si>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</si>
  <si>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</si>
  <si>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</si>
  <si>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</si>
  <si>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</si>
  <si>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</si>
  <si>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</si>
  <si>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</si>
  <si>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</si>
  <si>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</si>
  <si>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</si>
  <si>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</si>
  <si>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</si>
  <si>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</si>
  <si>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</si>
  <si>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</si>
  <si>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</si>
  <si>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</si>
  <si>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</si>
  <si>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</si>
  <si>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</si>
  <si>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</si>
  <si>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</si>
  <si>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</si>
  <si>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</si>
  <si>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</si>
  <si>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</si>
  <si>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</si>
  <si>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</si>
  <si>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</si>
  <si>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</si>
  <si>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</si>
  <si>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</si>
  <si>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</si>
  <si>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</si>
  <si>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</si>
  <si>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</si>
  <si>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</si>
  <si>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</si>
  <si>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</si>
  <si>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</si>
  <si>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</si>
  <si>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</si>
  <si>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</si>
  <si>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</si>
  <si>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</si>
  <si>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</si>
  <si>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</si>
  <si>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</si>
  <si>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</si>
  <si>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</si>
  <si>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</si>
  <si>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</si>
  <si>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</si>
  <si>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</si>
  <si>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</si>
  <si>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</si>
  <si>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</si>
  <si>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</si>
  <si>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</si>
  <si>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</si>
  <si>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</si>
  <si>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</si>
  <si>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</si>
  <si>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</si>
  <si>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</si>
  <si>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</si>
  <si>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</si>
  <si>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</si>
  <si>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</si>
  <si>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</si>
  <si>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</si>
  <si>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</si>
  <si>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</si>
  <si>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Sum of Actual_Amount_GHS</t>
  </si>
  <si>
    <t>Grand Total</t>
  </si>
  <si>
    <t xml:space="preserve">Total Transactions </t>
  </si>
  <si>
    <t>Profit(Revenue - Expenses)</t>
  </si>
  <si>
    <t>Highest Expense Category</t>
  </si>
  <si>
    <t>Highest Expense Caategory Amount</t>
  </si>
  <si>
    <t>Department with Highest Expenses</t>
  </si>
  <si>
    <t>Department with Highest Expense Amount</t>
  </si>
  <si>
    <t>Financial Summary</t>
  </si>
  <si>
    <t xml:space="preserve">Total Expenses </t>
  </si>
  <si>
    <t>Profit Margin</t>
  </si>
  <si>
    <t>Expenses</t>
  </si>
  <si>
    <t>Jul</t>
  </si>
  <si>
    <t>Aug</t>
  </si>
  <si>
    <t>Sep</t>
  </si>
  <si>
    <t>Oct</t>
  </si>
  <si>
    <t>Nov</t>
  </si>
  <si>
    <t>Dec</t>
  </si>
  <si>
    <t>Actual</t>
  </si>
  <si>
    <t>Budget</t>
  </si>
  <si>
    <t>Variance%</t>
  </si>
  <si>
    <t>Management Insight</t>
  </si>
  <si>
    <t>No.1</t>
  </si>
  <si>
    <t>Total revenue was GHS 318,721, while total expenses were GHS 456,287, resulting in a loss of GHS 137,566. This indicates that expenses exceeded the revenue generated during the period and should be reviewed for opportunities to improve profitability.</t>
  </si>
  <si>
    <t>No.2</t>
  </si>
  <si>
    <t>Office Supplies was the highest expense category at GHS 105,273, followed by Software at GHS 94,089 and Marketing at GHS 82,806. These three categories accounted for a significant portion of total expenses and should be key areas for cost monitoring.</t>
  </si>
  <si>
    <t>No.3</t>
  </si>
  <si>
    <t>Sales recorded the highest departmental expense at GHS 134,953, followed by Finance at GHS 126,197. Operations and Administration recorded GHS 98,095 and GHS 97,042 respectively, indicating that Sales and Finance were the two largest departmental cost centres during the period.</t>
  </si>
  <si>
    <t>No.4</t>
  </si>
  <si>
    <t>All four departments recorded actual expenses below budget. Finance had the largest underspend at GHS 5,668 (4.30% below budget), followed by Operations at GHS 3,931 (3.85%), Sales at GHS 3,352 (2.42%), and Administration at GHS 3,055 (3.05%). This indicates that departmental spending remained within budget across the period.</t>
  </si>
  <si>
    <t>No.5</t>
  </si>
  <si>
    <t>Utilities and Software recorded the largest percentage underspends among the expense categories, at 6.83% and 5.69% below budget respectively. Utilities was GHS 3,583 below budget, while Software was GHS 5,676 below budget, highlighting the largest category-level deviations from planned spending.</t>
  </si>
  <si>
    <t>No.6</t>
  </si>
  <si>
    <t>Marketing recorded actual expenses of GHS 82,806 against a budget of GHS 83,090, resulting in an underspend of only GHS 284 (0.34%). This was the closest actual-to-budget performance among the active expense categories, indicating that Marketing spending was closely aligned with the planned amount.</t>
  </si>
  <si>
    <t>DAY 2 FINANCIAL ANALYSIS DASHBOARD</t>
  </si>
  <si>
    <t>Profit/(Loss)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</si>
</sst>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rlito"/>
    </font>
    <font>
      <sz val="12"/>
      <color theme="1"/>
      <name val="Times New Roman"/>
    </font>
    <font>
      <sz val="12"/>
      <color rgb="FF000000"/>
      <name val="Times New Roman"/>
    </font>
    <font>
      <b/>
      <sz val="12"/>
      <color theme="1"/>
      <name val="Times New Roman"/>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applyBorder="1" applyAlignment="1">
      <alignment wrapText="1"/>
    </xf>
    <xf numFmtId="0" fontId="18" fillId="0" borderId="0" xfId="0" applyFont="1" applyBorder="1" applyAlignment="1"/>
    <xf numFmtId="0" fontId="19" fillId="0" borderId="0" xfId="0" applyFont="1"/>
    <xf numFmtId="14" fontId="19" fillId="0" borderId="0" xfId="0" applyNumberFormat="1" applyFont="1"/>
    <xf numFmtId="0" fontId="20" fillId="0" borderId="0" xfId="0" applyFont="1" applyBorder="1" applyAlignment="1">
      <alignment wrapText="1"/>
    </xf>
    <xf numFmtId="0" fontId="20" fillId="0" borderId="0" xfId="0" applyFont="1" applyBorder="1" applyAlignment="1"/>
    <xf numFmtId="0" fontId="19" fillId="33" borderId="0" xfId="0" applyFont="1" applyFill="1"/>
    <xf numFmtId="0" fontId="0" fillId="0" borderId="0" xfId="0" pivotButton="1"/>
    <xf numFmtId="0" fontId="0" fillId="0" borderId="0" xfId="0" applyNumberFormat="1"/>
    <xf numFmtId="0" fontId="21" fillId="0" borderId="0" xfId="0" applyFont="1"/>
    <xf numFmtId="10" fontId="19" fillId="0" borderId="0" xfId="0" applyNumberFormat="1" applyFont="1"/>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and Expense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Analysis'!$B$1</c:f>
              <c:strCache>
                <c:ptCount val="1"/>
                <c:pt idx="0">
                  <c:v>Revenue</c:v>
                </c:pt>
              </c:strCache>
            </c:strRef>
          </c:tx>
          <c:spPr>
            <a:ln w="28575" cap="rnd">
              <a:solidFill>
                <a:schemeClr val="accent1"/>
              </a:solidFill>
              <a:round/>
            </a:ln>
            <a:effectLst/>
          </c:spPr>
          <c:marker>
            <c:symbol val="none"/>
          </c:marker>
          <c:cat>
            <c:strRef>
              <c:f>'Monthly 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Analysis'!$B$2:$B$13</c:f>
              <c:numCache>
                <c:formatCode>General</c:formatCode>
                <c:ptCount val="12"/>
                <c:pt idx="0">
                  <c:v>35345</c:v>
                </c:pt>
                <c:pt idx="1">
                  <c:v>66064</c:v>
                </c:pt>
                <c:pt idx="2">
                  <c:v>50426</c:v>
                </c:pt>
                <c:pt idx="3">
                  <c:v>98466</c:v>
                </c:pt>
                <c:pt idx="4">
                  <c:v>38665</c:v>
                </c:pt>
                <c:pt idx="5">
                  <c:v>29755</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E5B-4DF5-906B-7111E4A40B6B}"/>
            </c:ext>
          </c:extLst>
        </c:ser>
        <c:ser>
          <c:idx val="1"/>
          <c:order val="1"/>
          <c:tx>
            <c:strRef>
              <c:f>'Monthly Analysis'!$C$1</c:f>
              <c:strCache>
                <c:ptCount val="1"/>
                <c:pt idx="0">
                  <c:v>Expenses</c:v>
                </c:pt>
              </c:strCache>
            </c:strRef>
          </c:tx>
          <c:spPr>
            <a:ln w="28575" cap="rnd">
              <a:solidFill>
                <a:schemeClr val="accent2"/>
              </a:solidFill>
              <a:round/>
            </a:ln>
            <a:effectLst/>
          </c:spPr>
          <c:marker>
            <c:symbol val="none"/>
          </c:marker>
          <c:cat>
            <c:strRef>
              <c:f>'Monthly 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Analysis'!$C$2:$C$13</c:f>
              <c:numCache>
                <c:formatCode>General</c:formatCode>
                <c:ptCount val="12"/>
                <c:pt idx="0">
                  <c:v>63670</c:v>
                </c:pt>
                <c:pt idx="1">
                  <c:v>87107</c:v>
                </c:pt>
                <c:pt idx="2">
                  <c:v>67673</c:v>
                </c:pt>
                <c:pt idx="3">
                  <c:v>82335</c:v>
                </c:pt>
                <c:pt idx="4">
                  <c:v>75276</c:v>
                </c:pt>
                <c:pt idx="5">
                  <c:v>80226</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E5B-4DF5-906B-7111E4A40B6B}"/>
            </c:ext>
          </c:extLst>
        </c:ser>
        <c:dLbls>
          <c:showLegendKey val="0"/>
          <c:showVal val="0"/>
          <c:showCatName val="0"/>
          <c:showSerName val="0"/>
          <c:showPercent val="0"/>
          <c:showBubbleSize val="0"/>
        </c:dLbls>
        <c:smooth val="0"/>
        <c:axId val="1097464840"/>
        <c:axId val="1661813768"/>
      </c:lineChart>
      <c:catAx>
        <c:axId val="109746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13768"/>
        <c:crosses val="autoZero"/>
        <c:auto val="1"/>
        <c:lblAlgn val="ctr"/>
        <c:lblOffset val="100"/>
        <c:noMultiLvlLbl val="0"/>
      </c:catAx>
      <c:valAx>
        <c:axId val="166181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6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Budget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 Budget Analysis'!$B$1</c:f>
              <c:strCache>
                <c:ptCount val="1"/>
                <c:pt idx="0">
                  <c:v>Actual</c:v>
                </c:pt>
              </c:strCache>
            </c:strRef>
          </c:tx>
          <c:spPr>
            <a:solidFill>
              <a:schemeClr val="accent1"/>
            </a:solidFill>
            <a:ln>
              <a:noFill/>
            </a:ln>
            <a:effectLst/>
          </c:spPr>
          <c:invertIfNegative val="0"/>
          <c:cat>
            <c:strRef>
              <c:f>'Department Budget Analysis'!$A$2:$A$5</c:f>
              <c:strCache>
                <c:ptCount val="4"/>
                <c:pt idx="0">
                  <c:v>Sales</c:v>
                </c:pt>
                <c:pt idx="1">
                  <c:v>Administration</c:v>
                </c:pt>
                <c:pt idx="2">
                  <c:v>Operations</c:v>
                </c:pt>
                <c:pt idx="3">
                  <c:v>Finance</c:v>
                </c:pt>
              </c:strCache>
            </c:strRef>
          </c:cat>
          <c:val>
            <c:numRef>
              <c:f>'Department Budget Analysis'!$B$2:$B$5</c:f>
              <c:numCache>
                <c:formatCode>General</c:formatCode>
                <c:ptCount val="4"/>
                <c:pt idx="0">
                  <c:v>134953</c:v>
                </c:pt>
                <c:pt idx="1">
                  <c:v>97042</c:v>
                </c:pt>
                <c:pt idx="2">
                  <c:v>98095</c:v>
                </c:pt>
                <c:pt idx="3">
                  <c:v>126197</c:v>
                </c:pt>
              </c:numCache>
            </c:numRef>
          </c:val>
          <c:extLst>
            <c:ext xmlns:c16="http://schemas.microsoft.com/office/drawing/2014/chart" uri="{C3380CC4-5D6E-409C-BE32-E72D297353CC}">
              <c16:uniqueId val="{00000000-3ABD-4524-86AE-A45DB5AF8250}"/>
            </c:ext>
          </c:extLst>
        </c:ser>
        <c:ser>
          <c:idx val="1"/>
          <c:order val="1"/>
          <c:tx>
            <c:strRef>
              <c:f>'Department Budget Analysis'!$C$1</c:f>
              <c:strCache>
                <c:ptCount val="1"/>
                <c:pt idx="0">
                  <c:v>Budget</c:v>
                </c:pt>
              </c:strCache>
            </c:strRef>
          </c:tx>
          <c:spPr>
            <a:solidFill>
              <a:schemeClr val="accent2"/>
            </a:solidFill>
            <a:ln>
              <a:noFill/>
            </a:ln>
            <a:effectLst/>
          </c:spPr>
          <c:invertIfNegative val="0"/>
          <c:cat>
            <c:strRef>
              <c:f>'Department Budget Analysis'!$A$2:$A$5</c:f>
              <c:strCache>
                <c:ptCount val="4"/>
                <c:pt idx="0">
                  <c:v>Sales</c:v>
                </c:pt>
                <c:pt idx="1">
                  <c:v>Administration</c:v>
                </c:pt>
                <c:pt idx="2">
                  <c:v>Operations</c:v>
                </c:pt>
                <c:pt idx="3">
                  <c:v>Finance</c:v>
                </c:pt>
              </c:strCache>
            </c:strRef>
          </c:cat>
          <c:val>
            <c:numRef>
              <c:f>'Department Budget Analysis'!$C$2:$C$5</c:f>
              <c:numCache>
                <c:formatCode>General</c:formatCode>
                <c:ptCount val="4"/>
                <c:pt idx="0">
                  <c:v>138305</c:v>
                </c:pt>
                <c:pt idx="1">
                  <c:v>100097</c:v>
                </c:pt>
                <c:pt idx="2">
                  <c:v>102026</c:v>
                </c:pt>
                <c:pt idx="3">
                  <c:v>131865</c:v>
                </c:pt>
              </c:numCache>
            </c:numRef>
          </c:val>
          <c:extLst>
            <c:ext xmlns:c16="http://schemas.microsoft.com/office/drawing/2014/chart" uri="{C3380CC4-5D6E-409C-BE32-E72D297353CC}">
              <c16:uniqueId val="{00000002-3ABD-4524-86AE-A45DB5AF8250}"/>
            </c:ext>
          </c:extLst>
        </c:ser>
        <c:dLbls>
          <c:showLegendKey val="0"/>
          <c:showVal val="0"/>
          <c:showCatName val="0"/>
          <c:showSerName val="0"/>
          <c:showPercent val="0"/>
          <c:showBubbleSize val="0"/>
        </c:dLbls>
        <c:gapWidth val="219"/>
        <c:overlap val="-27"/>
        <c:axId val="1512007688"/>
        <c:axId val="1512009736"/>
      </c:barChart>
      <c:catAx>
        <c:axId val="1512007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09736"/>
        <c:crosses val="autoZero"/>
        <c:auto val="1"/>
        <c:lblAlgn val="ctr"/>
        <c:lblOffset val="100"/>
        <c:noMultiLvlLbl val="0"/>
      </c:catAx>
      <c:valAx>
        <c:axId val="1512009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07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2_financial analysis.xlsx]Top Expense Categories!PivotTable2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Expense Categories'!$B$3</c:f>
              <c:strCache>
                <c:ptCount val="1"/>
                <c:pt idx="0">
                  <c:v>Total</c:v>
                </c:pt>
              </c:strCache>
            </c:strRef>
          </c:tx>
          <c:spPr>
            <a:solidFill>
              <a:schemeClr val="accent1"/>
            </a:solidFill>
            <a:ln>
              <a:noFill/>
            </a:ln>
            <a:effectLst/>
          </c:spPr>
          <c:invertIfNegative val="0"/>
          <c:cat>
            <c:strRef>
              <c:f>'Top Expense Categories'!$A$4:$A$10</c:f>
              <c:strCache>
                <c:ptCount val="6"/>
                <c:pt idx="0">
                  <c:v>Office Supplies</c:v>
                </c:pt>
                <c:pt idx="1">
                  <c:v>Software</c:v>
                </c:pt>
                <c:pt idx="2">
                  <c:v>Marketing</c:v>
                </c:pt>
                <c:pt idx="3">
                  <c:v>Rent</c:v>
                </c:pt>
                <c:pt idx="4">
                  <c:v>Transport</c:v>
                </c:pt>
                <c:pt idx="5">
                  <c:v>Utilities</c:v>
                </c:pt>
              </c:strCache>
            </c:strRef>
          </c:cat>
          <c:val>
            <c:numRef>
              <c:f>'Top Expense Categories'!$B$4:$B$10</c:f>
              <c:numCache>
                <c:formatCode>General</c:formatCode>
                <c:ptCount val="6"/>
                <c:pt idx="0">
                  <c:v>105273</c:v>
                </c:pt>
                <c:pt idx="1">
                  <c:v>94089</c:v>
                </c:pt>
                <c:pt idx="2">
                  <c:v>82806</c:v>
                </c:pt>
                <c:pt idx="3">
                  <c:v>65473</c:v>
                </c:pt>
                <c:pt idx="4">
                  <c:v>59773</c:v>
                </c:pt>
                <c:pt idx="5">
                  <c:v>48873</c:v>
                </c:pt>
              </c:numCache>
            </c:numRef>
          </c:val>
          <c:extLst>
            <c:ext xmlns:c16="http://schemas.microsoft.com/office/drawing/2014/chart" uri="{C3380CC4-5D6E-409C-BE32-E72D297353CC}">
              <c16:uniqueId val="{00000000-411D-4959-BD06-C06942A28B88}"/>
            </c:ext>
          </c:extLst>
        </c:ser>
        <c:dLbls>
          <c:showLegendKey val="0"/>
          <c:showVal val="0"/>
          <c:showCatName val="0"/>
          <c:showSerName val="0"/>
          <c:showPercent val="0"/>
          <c:showBubbleSize val="0"/>
        </c:dLbls>
        <c:gapWidth val="219"/>
        <c:overlap val="-27"/>
        <c:axId val="1911381512"/>
        <c:axId val="1911387656"/>
      </c:barChart>
      <c:catAx>
        <c:axId val="19113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7656"/>
        <c:crosses val="autoZero"/>
        <c:auto val="1"/>
        <c:lblAlgn val="ctr"/>
        <c:lblOffset val="100"/>
        <c:noMultiLvlLbl val="0"/>
      </c:catAx>
      <c:valAx>
        <c:axId val="1911387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and Expense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Analysis'!$B$1</c:f>
              <c:strCache>
                <c:ptCount val="1"/>
                <c:pt idx="0">
                  <c:v>Revenue</c:v>
                </c:pt>
              </c:strCache>
            </c:strRef>
          </c:tx>
          <c:spPr>
            <a:ln w="28575" cap="rnd">
              <a:solidFill>
                <a:schemeClr val="accent1"/>
              </a:solidFill>
              <a:round/>
            </a:ln>
            <a:effectLst/>
          </c:spPr>
          <c:marker>
            <c:symbol val="none"/>
          </c:marker>
          <c:cat>
            <c:strRef>
              <c:f>'Monthly 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Analysis'!$B$2:$B$13</c:f>
              <c:numCache>
                <c:formatCode>General</c:formatCode>
                <c:ptCount val="12"/>
                <c:pt idx="0">
                  <c:v>35345</c:v>
                </c:pt>
                <c:pt idx="1">
                  <c:v>66064</c:v>
                </c:pt>
                <c:pt idx="2">
                  <c:v>50426</c:v>
                </c:pt>
                <c:pt idx="3">
                  <c:v>98466</c:v>
                </c:pt>
                <c:pt idx="4">
                  <c:v>38665</c:v>
                </c:pt>
                <c:pt idx="5">
                  <c:v>29755</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1F4-42D2-9C41-202F889E2CF0}"/>
            </c:ext>
          </c:extLst>
        </c:ser>
        <c:ser>
          <c:idx val="1"/>
          <c:order val="1"/>
          <c:tx>
            <c:strRef>
              <c:f>'Monthly Analysis'!$C$1</c:f>
              <c:strCache>
                <c:ptCount val="1"/>
                <c:pt idx="0">
                  <c:v>Expenses</c:v>
                </c:pt>
              </c:strCache>
            </c:strRef>
          </c:tx>
          <c:spPr>
            <a:ln w="28575" cap="rnd">
              <a:solidFill>
                <a:schemeClr val="accent2"/>
              </a:solidFill>
              <a:round/>
            </a:ln>
            <a:effectLst/>
          </c:spPr>
          <c:marker>
            <c:symbol val="none"/>
          </c:marker>
          <c:cat>
            <c:strRef>
              <c:f>'Monthly Analysis'!$A$2:$A$13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Analysis'!$C$2:$C$13</c:f>
              <c:numCache>
                <c:formatCode>General</c:formatCode>
                <c:ptCount val="12"/>
                <c:pt idx="0">
                  <c:v>63670</c:v>
                </c:pt>
                <c:pt idx="1">
                  <c:v>87107</c:v>
                </c:pt>
                <c:pt idx="2">
                  <c:v>67673</c:v>
                </c:pt>
                <c:pt idx="3">
                  <c:v>82335</c:v>
                </c:pt>
                <c:pt idx="4">
                  <c:v>75276</c:v>
                </c:pt>
                <c:pt idx="5">
                  <c:v>80226</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41F4-42D2-9C41-202F889E2CF0}"/>
            </c:ext>
          </c:extLst>
        </c:ser>
        <c:dLbls>
          <c:showLegendKey val="0"/>
          <c:showVal val="0"/>
          <c:showCatName val="0"/>
          <c:showSerName val="0"/>
          <c:showPercent val="0"/>
          <c:showBubbleSize val="0"/>
        </c:dLbls>
        <c:smooth val="0"/>
        <c:axId val="1097464840"/>
        <c:axId val="1661813768"/>
      </c:lineChart>
      <c:catAx>
        <c:axId val="109746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13768"/>
        <c:crosses val="autoZero"/>
        <c:auto val="1"/>
        <c:lblAlgn val="ctr"/>
        <c:lblOffset val="100"/>
        <c:noMultiLvlLbl val="0"/>
      </c:catAx>
      <c:valAx>
        <c:axId val="166181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6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2_financial analysis.xlsx]Top Expense Categories!PivotTable2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Expense Categories'!$B$3</c:f>
              <c:strCache>
                <c:ptCount val="1"/>
                <c:pt idx="0">
                  <c:v>Total</c:v>
                </c:pt>
              </c:strCache>
            </c:strRef>
          </c:tx>
          <c:spPr>
            <a:solidFill>
              <a:schemeClr val="accent1"/>
            </a:solidFill>
            <a:ln>
              <a:noFill/>
            </a:ln>
            <a:effectLst/>
          </c:spPr>
          <c:invertIfNegative val="0"/>
          <c:cat>
            <c:strRef>
              <c:f>'Top Expense Categories'!$A$4:$A$10</c:f>
              <c:strCache>
                <c:ptCount val="6"/>
                <c:pt idx="0">
                  <c:v>Office Supplies</c:v>
                </c:pt>
                <c:pt idx="1">
                  <c:v>Software</c:v>
                </c:pt>
                <c:pt idx="2">
                  <c:v>Marketing</c:v>
                </c:pt>
                <c:pt idx="3">
                  <c:v>Rent</c:v>
                </c:pt>
                <c:pt idx="4">
                  <c:v>Transport</c:v>
                </c:pt>
                <c:pt idx="5">
                  <c:v>Utilities</c:v>
                </c:pt>
              </c:strCache>
            </c:strRef>
          </c:cat>
          <c:val>
            <c:numRef>
              <c:f>'Top Expense Categories'!$B$4:$B$10</c:f>
              <c:numCache>
                <c:formatCode>General</c:formatCode>
                <c:ptCount val="6"/>
                <c:pt idx="0">
                  <c:v>105273</c:v>
                </c:pt>
                <c:pt idx="1">
                  <c:v>94089</c:v>
                </c:pt>
                <c:pt idx="2">
                  <c:v>82806</c:v>
                </c:pt>
                <c:pt idx="3">
                  <c:v>65473</c:v>
                </c:pt>
                <c:pt idx="4">
                  <c:v>59773</c:v>
                </c:pt>
                <c:pt idx="5">
                  <c:v>48873</c:v>
                </c:pt>
              </c:numCache>
            </c:numRef>
          </c:val>
          <c:extLst>
            <c:ext xmlns:c16="http://schemas.microsoft.com/office/drawing/2014/chart" uri="{C3380CC4-5D6E-409C-BE32-E72D297353CC}">
              <c16:uniqueId val="{00000000-C508-4262-B805-2F41CD432EC8}"/>
            </c:ext>
          </c:extLst>
        </c:ser>
        <c:dLbls>
          <c:showLegendKey val="0"/>
          <c:showVal val="0"/>
          <c:showCatName val="0"/>
          <c:showSerName val="0"/>
          <c:showPercent val="0"/>
          <c:showBubbleSize val="0"/>
        </c:dLbls>
        <c:gapWidth val="219"/>
        <c:overlap val="-27"/>
        <c:axId val="1911381512"/>
        <c:axId val="1911387656"/>
      </c:barChart>
      <c:catAx>
        <c:axId val="19113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7656"/>
        <c:crosses val="autoZero"/>
        <c:auto val="1"/>
        <c:lblAlgn val="ctr"/>
        <c:lblOffset val="100"/>
        <c:noMultiLvlLbl val="0"/>
      </c:catAx>
      <c:valAx>
        <c:axId val="1911387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Budget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 Budget Analysis'!$B$1</c:f>
              <c:strCache>
                <c:ptCount val="1"/>
                <c:pt idx="0">
                  <c:v>Actual</c:v>
                </c:pt>
              </c:strCache>
            </c:strRef>
          </c:tx>
          <c:spPr>
            <a:solidFill>
              <a:schemeClr val="accent1"/>
            </a:solidFill>
            <a:ln>
              <a:noFill/>
            </a:ln>
            <a:effectLst/>
          </c:spPr>
          <c:invertIfNegative val="0"/>
          <c:cat>
            <c:strRef>
              <c:f>'Department Budget Analysis'!$A$2:$A$5</c:f>
              <c:strCache>
                <c:ptCount val="4"/>
                <c:pt idx="0">
                  <c:v>Sales</c:v>
                </c:pt>
                <c:pt idx="1">
                  <c:v>Administration</c:v>
                </c:pt>
                <c:pt idx="2">
                  <c:v>Operations</c:v>
                </c:pt>
                <c:pt idx="3">
                  <c:v>Finance</c:v>
                </c:pt>
              </c:strCache>
            </c:strRef>
          </c:cat>
          <c:val>
            <c:numRef>
              <c:f>'Department Budget Analysis'!$B$2:$B$5</c:f>
              <c:numCache>
                <c:formatCode>General</c:formatCode>
                <c:ptCount val="4"/>
                <c:pt idx="0">
                  <c:v>134953</c:v>
                </c:pt>
                <c:pt idx="1">
                  <c:v>97042</c:v>
                </c:pt>
                <c:pt idx="2">
                  <c:v>98095</c:v>
                </c:pt>
                <c:pt idx="3">
                  <c:v>126197</c:v>
                </c:pt>
              </c:numCache>
            </c:numRef>
          </c:val>
          <c:extLst>
            <c:ext xmlns:c16="http://schemas.microsoft.com/office/drawing/2014/chart" uri="{C3380CC4-5D6E-409C-BE32-E72D297353CC}">
              <c16:uniqueId val="{00000000-521F-4B2A-BC32-212A667D3994}"/>
            </c:ext>
          </c:extLst>
        </c:ser>
        <c:ser>
          <c:idx val="1"/>
          <c:order val="1"/>
          <c:tx>
            <c:strRef>
              <c:f>'Department Budget Analysis'!$C$1</c:f>
              <c:strCache>
                <c:ptCount val="1"/>
                <c:pt idx="0">
                  <c:v>Budget</c:v>
                </c:pt>
              </c:strCache>
            </c:strRef>
          </c:tx>
          <c:spPr>
            <a:solidFill>
              <a:schemeClr val="accent2"/>
            </a:solidFill>
            <a:ln>
              <a:noFill/>
            </a:ln>
            <a:effectLst/>
          </c:spPr>
          <c:invertIfNegative val="0"/>
          <c:cat>
            <c:strRef>
              <c:f>'Department Budget Analysis'!$A$2:$A$5</c:f>
              <c:strCache>
                <c:ptCount val="4"/>
                <c:pt idx="0">
                  <c:v>Sales</c:v>
                </c:pt>
                <c:pt idx="1">
                  <c:v>Administration</c:v>
                </c:pt>
                <c:pt idx="2">
                  <c:v>Operations</c:v>
                </c:pt>
                <c:pt idx="3">
                  <c:v>Finance</c:v>
                </c:pt>
              </c:strCache>
            </c:strRef>
          </c:cat>
          <c:val>
            <c:numRef>
              <c:f>'Department Budget Analysis'!$C$2:$C$5</c:f>
              <c:numCache>
                <c:formatCode>General</c:formatCode>
                <c:ptCount val="4"/>
                <c:pt idx="0">
                  <c:v>138305</c:v>
                </c:pt>
                <c:pt idx="1">
                  <c:v>100097</c:v>
                </c:pt>
                <c:pt idx="2">
                  <c:v>102026</c:v>
                </c:pt>
                <c:pt idx="3">
                  <c:v>131865</c:v>
                </c:pt>
              </c:numCache>
            </c:numRef>
          </c:val>
          <c:extLst>
            <c:ext xmlns:c16="http://schemas.microsoft.com/office/drawing/2014/chart" uri="{C3380CC4-5D6E-409C-BE32-E72D297353CC}">
              <c16:uniqueId val="{00000001-521F-4B2A-BC32-212A667D3994}"/>
            </c:ext>
          </c:extLst>
        </c:ser>
        <c:dLbls>
          <c:showLegendKey val="0"/>
          <c:showVal val="0"/>
          <c:showCatName val="0"/>
          <c:showSerName val="0"/>
          <c:showPercent val="0"/>
          <c:showBubbleSize val="0"/>
        </c:dLbls>
        <c:gapWidth val="219"/>
        <c:overlap val="-27"/>
        <c:axId val="1512007688"/>
        <c:axId val="1512009736"/>
      </c:barChart>
      <c:catAx>
        <c:axId val="1512007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09736"/>
        <c:crosses val="autoZero"/>
        <c:auto val="1"/>
        <c:lblAlgn val="ctr"/>
        <c:lblOffset val="100"/>
        <c:noMultiLvlLbl val="0"/>
      </c:catAx>
      <c:valAx>
        <c:axId val="1512009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07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266700</xdr:colOff>
      <xdr:row>5</xdr:row>
      <xdr:rowOff>19050</xdr:rowOff>
    </xdr:from>
    <xdr:to>
      <xdr:col>14</xdr:col>
      <xdr:colOff>571500</xdr:colOff>
      <xdr:row>18</xdr:row>
      <xdr:rowOff>161925</xdr:rowOff>
    </xdr:to>
    <xdr:graphicFrame macro="">
      <xdr:nvGraphicFramePr>
        <xdr:cNvPr id="2" name="Chart 1">
          <a:extLst>
            <a:ext uri="{FF2B5EF4-FFF2-40B4-BE49-F238E27FC236}">
              <a16:creationId xmlns:a16="http://schemas.microsoft.com/office/drawing/2014/main" id="{5D62C2AB-C8AC-8C82-65A5-3BAC2309D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552450</xdr:colOff>
      <xdr:row>5</xdr:row>
      <xdr:rowOff>19050</xdr:rowOff>
    </xdr:from>
    <xdr:to>
      <xdr:col>14</xdr:col>
      <xdr:colOff>247650</xdr:colOff>
      <xdr:row>18</xdr:row>
      <xdr:rowOff>161925</xdr:rowOff>
    </xdr:to>
    <xdr:graphicFrame macro="">
      <xdr:nvGraphicFramePr>
        <xdr:cNvPr id="2" name="Chart 1">
          <a:extLst>
            <a:ext uri="{FF2B5EF4-FFF2-40B4-BE49-F238E27FC236}">
              <a16:creationId xmlns:a16="http://schemas.microsoft.com/office/drawing/2014/main" id="{2F1C7F6A-C66B-5773-732E-0E423B301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5</xdr:row>
      <xdr:rowOff>66675</xdr:rowOff>
    </xdr:from>
    <xdr:to>
      <xdr:col>9</xdr:col>
      <xdr:colOff>352425</xdr:colOff>
      <xdr:row>19</xdr:row>
      <xdr:rowOff>142875</xdr:rowOff>
    </xdr:to>
    <xdr:graphicFrame macro="">
      <xdr:nvGraphicFramePr>
        <xdr:cNvPr id="2" name="Chart 1">
          <a:extLst>
            <a:ext uri="{FF2B5EF4-FFF2-40B4-BE49-F238E27FC236}">
              <a16:creationId xmlns:a16="http://schemas.microsoft.com/office/drawing/2014/main" id="{98DCE5E5-A853-A556-C56A-9B081C0D9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638175</xdr:colOff>
      <xdr:row>4</xdr:row>
      <xdr:rowOff>190500</xdr:rowOff>
    </xdr:from>
    <xdr:to>
      <xdr:col>2</xdr:col>
      <xdr:colOff>847725</xdr:colOff>
      <xdr:row>18</xdr:row>
      <xdr:rowOff>133350</xdr:rowOff>
    </xdr:to>
    <xdr:graphicFrame macro="">
      <xdr:nvGraphicFramePr>
        <xdr:cNvPr id="3" name="Chart 2">
          <a:extLst>
            <a:ext uri="{FF2B5EF4-FFF2-40B4-BE49-F238E27FC236}">
              <a16:creationId xmlns:a16="http://schemas.microsoft.com/office/drawing/2014/main" id="{85B2A4FD-8681-4CC4-8AC4-8EF8C63C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4</xdr:row>
      <xdr:rowOff>0</xdr:rowOff>
    </xdr:from>
    <xdr:to>
      <xdr:col>9</xdr:col>
      <xdr:colOff>123825</xdr:colOff>
      <xdr:row>17</xdr:row>
      <xdr:rowOff>142875</xdr:rowOff>
    </xdr:to>
    <xdr:graphicFrame macro="">
      <xdr:nvGraphicFramePr>
        <xdr:cNvPr id="4" name="Chart 3">
          <a:extLst>
            <a:ext uri="{FF2B5EF4-FFF2-40B4-BE49-F238E27FC236}">
              <a16:creationId xmlns:a16="http://schemas.microsoft.com/office/drawing/2014/main" id="{102CF7C7-6131-44EC-AA75-86870E0D5A48}"/>
            </a:ext>
            <a:ext uri="{147F2762-F138-4A5C-976F-8EAC2B608ADB}">
              <a16:predDERef xmlns:a16="http://schemas.microsoft.com/office/drawing/2014/main" pred="{85B2A4FD-8681-4CC4-8AC4-8EF8C63C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371475</xdr:colOff>
      <xdr:row>18</xdr:row>
      <xdr:rowOff>180975</xdr:rowOff>
    </xdr:from>
    <xdr:to>
      <xdr:col>7</xdr:col>
      <xdr:colOff>390525</xdr:colOff>
      <xdr:row>32</xdr:row>
      <xdr:rowOff>123825</xdr:rowOff>
    </xdr:to>
    <xdr:graphicFrame macro="">
      <xdr:nvGraphicFramePr>
        <xdr:cNvPr id="5" name="Chart 4">
          <a:extLst>
            <a:ext uri="{FF2B5EF4-FFF2-40B4-BE49-F238E27FC236}">
              <a16:creationId xmlns:a16="http://schemas.microsoft.com/office/drawing/2014/main" id="{93D90AEB-087F-43FD-B0BF-A5CC5122D526}"/>
            </a:ext>
            <a:ext uri="{147F2762-F138-4A5C-976F-8EAC2B608ADB}">
              <a16:predDERef xmlns:a16="http://schemas.microsoft.com/office/drawing/2014/main" pred="{102CF7C7-6131-44EC-AA75-86870E0D5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4.663354282406" createdVersion="8" refreshedVersion="8" minRefreshableVersion="3" recordCount="180" xr:uid="{4533FB84-A9F6-4FC7-BC1C-BC3FBC67446B}">
  <cacheSource type="worksheet">
    <worksheetSource ref="A1:L181" sheet="Main Work"/>
  </cacheSource>
  <cacheFields count="12">
    <cacheField name="Transaction_ID" numFmtId="0">
      <sharedItems/>
    </cacheField>
    <cacheField name="Date" numFmtId="14">
      <sharedItems containsSemiMixedTypes="0" containsNonDate="0" containsDate="1" containsString="0" minDate="2026-01-02T00:00:00" maxDate="2026-06-30T00:00:00"/>
    </cacheField>
    <cacheField name="Department" numFmtId="0">
      <sharedItems count="4">
        <s v="Sales"/>
        <s v="Administration"/>
        <s v="Operations"/>
        <s v="Finance"/>
      </sharedItems>
    </cacheField>
    <cacheField name="Category" numFmtId="0">
      <sharedItems count="8">
        <s v="Office Supplies"/>
        <s v="Sales"/>
        <s v="Utilities"/>
        <s v="Rent"/>
        <s v="Marketing"/>
        <s v="Consulting"/>
        <s v="Transport"/>
        <s v="Software"/>
      </sharedItems>
    </cacheField>
    <cacheField name="Type" numFmtId="0">
      <sharedItems count="2">
        <s v="Expense"/>
        <s v="Revenue"/>
      </sharedItems>
    </cacheField>
    <cacheField name="Actual_Amount_GHS" numFmtId="0">
      <sharedItems containsSemiMixedTypes="0" containsString="0" containsNumber="1" containsInteger="1" minValue="113" maxValue="17526"/>
    </cacheField>
    <cacheField name="Budget_Amount_GHS" numFmtId="0">
      <sharedItems containsSemiMixedTypes="0" containsString="0" containsNumber="1" containsInteger="1" minValue="122" maxValue="18623"/>
    </cacheField>
    <cacheField name="Payment_Method" numFmtId="0">
      <sharedItems/>
    </cacheField>
    <cacheField name="Location" numFmtId="0">
      <sharedItems/>
    </cacheField>
    <cacheField name="Month" numFmtId="0">
      <sharedItems/>
    </cacheField>
    <cacheField name="Year" numFmtId="0">
      <sharedItems containsSemiMixedTypes="0" containsString="0" containsNumber="1" containsInteger="1" minValue="2026" maxValue="2026"/>
    </cacheField>
    <cacheField name="Variance" numFmtId="0">
      <sharedItems containsSemiMixedTypes="0" containsString="0" containsNumber="1" containsInteger="1" minValue="-2424" maxValue="20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TXN-0001"/>
    <d v="2026-03-10T00:00:00"/>
    <x v="0"/>
    <x v="0"/>
    <x v="0"/>
    <n v="5486"/>
    <n v="5679"/>
    <s v="Bank"/>
    <s v="Kumasi"/>
    <s v="Mar"/>
    <n v="2026"/>
    <n v="-193"/>
  </r>
  <r>
    <s v="TXN-0002"/>
    <d v="2026-04-06T00:00:00"/>
    <x v="1"/>
    <x v="1"/>
    <x v="1"/>
    <n v="17011"/>
    <n v="15857"/>
    <s v="Mobile Money"/>
    <s v="Takoradi"/>
    <s v="Apr"/>
    <n v="2026"/>
    <n v="1154"/>
  </r>
  <r>
    <s v="TXN-0003"/>
    <d v="2026-05-23T00:00:00"/>
    <x v="2"/>
    <x v="2"/>
    <x v="0"/>
    <n v="113"/>
    <n v="122"/>
    <s v="Cash"/>
    <s v="Kumasi"/>
    <s v="May"/>
    <n v="2026"/>
    <n v="-9"/>
  </r>
  <r>
    <s v="TXN-0004"/>
    <d v="2026-03-28T00:00:00"/>
    <x v="2"/>
    <x v="3"/>
    <x v="0"/>
    <n v="1822"/>
    <n v="1586"/>
    <s v="Bank"/>
    <s v="Takoradi"/>
    <s v="Mar"/>
    <n v="2026"/>
    <n v="236"/>
  </r>
  <r>
    <s v="TXN-0005"/>
    <d v="2026-06-24T00:00:00"/>
    <x v="3"/>
    <x v="4"/>
    <x v="0"/>
    <n v="3414"/>
    <n v="3855"/>
    <s v="Bank"/>
    <s v="Accra"/>
    <s v="Jun"/>
    <n v="2026"/>
    <n v="-441"/>
  </r>
  <r>
    <s v="TXN-0006"/>
    <d v="2026-01-24T00:00:00"/>
    <x v="3"/>
    <x v="2"/>
    <x v="0"/>
    <n v="3571"/>
    <n v="4218"/>
    <s v="Mobile Money"/>
    <s v="Kumasi"/>
    <s v="Jan"/>
    <n v="2026"/>
    <n v="-647"/>
  </r>
  <r>
    <s v="TXN-0007"/>
    <d v="2026-05-19T00:00:00"/>
    <x v="2"/>
    <x v="3"/>
    <x v="0"/>
    <n v="2660"/>
    <n v="3082"/>
    <s v="Mobile Money"/>
    <s v="Accra"/>
    <s v="May"/>
    <n v="2026"/>
    <n v="-422"/>
  </r>
  <r>
    <s v="TXN-0008"/>
    <d v="2026-05-10T00:00:00"/>
    <x v="1"/>
    <x v="3"/>
    <x v="0"/>
    <n v="784"/>
    <n v="776"/>
    <s v="Mobile Money"/>
    <s v="Takoradi"/>
    <s v="May"/>
    <n v="2026"/>
    <n v="8"/>
  </r>
  <r>
    <s v="TXN-0009"/>
    <d v="2026-05-03T00:00:00"/>
    <x v="3"/>
    <x v="0"/>
    <x v="0"/>
    <n v="5091"/>
    <n v="5012"/>
    <s v="Mobile Money"/>
    <s v="Takoradi"/>
    <s v="May"/>
    <n v="2026"/>
    <n v="79"/>
  </r>
  <r>
    <s v="TXN-0010"/>
    <d v="2026-02-19T00:00:00"/>
    <x v="0"/>
    <x v="5"/>
    <x v="1"/>
    <n v="9770"/>
    <n v="9348"/>
    <s v="Mobile Money"/>
    <s v="Kumasi"/>
    <s v="Feb"/>
    <n v="2026"/>
    <n v="422"/>
  </r>
  <r>
    <s v="TXN-0011"/>
    <d v="2026-01-30T00:00:00"/>
    <x v="0"/>
    <x v="6"/>
    <x v="0"/>
    <n v="2167"/>
    <n v="2020"/>
    <s v="Cash"/>
    <s v="Takoradi"/>
    <s v="Jan"/>
    <n v="2026"/>
    <n v="147"/>
  </r>
  <r>
    <s v="TXN-0012"/>
    <d v="2026-01-08T00:00:00"/>
    <x v="1"/>
    <x v="3"/>
    <x v="0"/>
    <n v="3220"/>
    <n v="3664"/>
    <s v="Bank"/>
    <s v="Takoradi"/>
    <s v="Jan"/>
    <n v="2026"/>
    <n v="-444"/>
  </r>
  <r>
    <s v="TXN-0013"/>
    <d v="2026-02-26T00:00:00"/>
    <x v="2"/>
    <x v="1"/>
    <x v="1"/>
    <n v="15199"/>
    <n v="13117"/>
    <s v="Mobile Money"/>
    <s v="Accra"/>
    <s v="Feb"/>
    <n v="2026"/>
    <n v="2082"/>
  </r>
  <r>
    <s v="TXN-0014"/>
    <d v="2026-02-15T00:00:00"/>
    <x v="3"/>
    <x v="2"/>
    <x v="0"/>
    <n v="738"/>
    <n v="807"/>
    <s v="Cash"/>
    <s v="Kumasi"/>
    <s v="Feb"/>
    <n v="2026"/>
    <n v="-69"/>
  </r>
  <r>
    <s v="TXN-0015"/>
    <d v="2026-03-30T00:00:00"/>
    <x v="3"/>
    <x v="0"/>
    <x v="0"/>
    <n v="5032"/>
    <n v="5398"/>
    <s v="Mobile Money"/>
    <s v="Kumasi"/>
    <s v="Mar"/>
    <n v="2026"/>
    <n v="-366"/>
  </r>
  <r>
    <s v="TXN-0016"/>
    <d v="2026-02-23T00:00:00"/>
    <x v="1"/>
    <x v="4"/>
    <x v="0"/>
    <n v="2882"/>
    <n v="2734"/>
    <s v="Mobile Money"/>
    <s v="Kumasi"/>
    <s v="Feb"/>
    <n v="2026"/>
    <n v="148"/>
  </r>
  <r>
    <s v="TXN-0017"/>
    <d v="2026-02-12T00:00:00"/>
    <x v="0"/>
    <x v="2"/>
    <x v="0"/>
    <n v="3907"/>
    <n v="4584"/>
    <s v="Bank"/>
    <s v="Accra"/>
    <s v="Feb"/>
    <n v="2026"/>
    <n v="-677"/>
  </r>
  <r>
    <s v="TXN-0018"/>
    <d v="2026-06-05T00:00:00"/>
    <x v="0"/>
    <x v="2"/>
    <x v="0"/>
    <n v="154"/>
    <n v="181"/>
    <s v="Bank"/>
    <s v="Accra"/>
    <s v="Jun"/>
    <n v="2026"/>
    <n v="-27"/>
  </r>
  <r>
    <s v="TXN-0019"/>
    <d v="2026-05-09T00:00:00"/>
    <x v="3"/>
    <x v="1"/>
    <x v="1"/>
    <n v="2511"/>
    <n v="2320"/>
    <s v="Cash"/>
    <s v="Takoradi"/>
    <s v="May"/>
    <n v="2026"/>
    <n v="191"/>
  </r>
  <r>
    <s v="TXN-0020"/>
    <d v="2026-01-07T00:00:00"/>
    <x v="0"/>
    <x v="3"/>
    <x v="0"/>
    <n v="2741"/>
    <n v="3175"/>
    <s v="Mobile Money"/>
    <s v="Accra"/>
    <s v="Jan"/>
    <n v="2026"/>
    <n v="-434"/>
  </r>
  <r>
    <s v="TXN-0021"/>
    <d v="2026-05-15T00:00:00"/>
    <x v="0"/>
    <x v="2"/>
    <x v="0"/>
    <n v="4214"/>
    <n v="4286"/>
    <s v="Cash"/>
    <s v="Takoradi"/>
    <s v="May"/>
    <n v="2026"/>
    <n v="-72"/>
  </r>
  <r>
    <s v="TXN-0022"/>
    <d v="2026-02-11T00:00:00"/>
    <x v="3"/>
    <x v="0"/>
    <x v="0"/>
    <n v="3776"/>
    <n v="3594"/>
    <s v="Cash"/>
    <s v="Kumasi"/>
    <s v="Feb"/>
    <n v="2026"/>
    <n v="182"/>
  </r>
  <r>
    <s v="TXN-0023"/>
    <d v="2026-02-24T00:00:00"/>
    <x v="0"/>
    <x v="0"/>
    <x v="0"/>
    <n v="6112"/>
    <n v="5804"/>
    <s v="Bank"/>
    <s v="Takoradi"/>
    <s v="Feb"/>
    <n v="2026"/>
    <n v="308"/>
  </r>
  <r>
    <s v="TXN-0024"/>
    <d v="2026-06-27T00:00:00"/>
    <x v="0"/>
    <x v="1"/>
    <x v="1"/>
    <n v="2093"/>
    <n v="1861"/>
    <s v="Cash"/>
    <s v="Accra"/>
    <s v="Jun"/>
    <n v="2026"/>
    <n v="232"/>
  </r>
  <r>
    <s v="TXN-0025"/>
    <d v="2026-02-21T00:00:00"/>
    <x v="3"/>
    <x v="2"/>
    <x v="0"/>
    <n v="3665"/>
    <n v="3720"/>
    <s v="Mobile Money"/>
    <s v="Takoradi"/>
    <s v="Feb"/>
    <n v="2026"/>
    <n v="-55"/>
  </r>
  <r>
    <s v="TXN-0026"/>
    <d v="2026-01-11T00:00:00"/>
    <x v="3"/>
    <x v="6"/>
    <x v="0"/>
    <n v="3521"/>
    <n v="3524"/>
    <s v="Cash"/>
    <s v="Accra"/>
    <s v="Jan"/>
    <n v="2026"/>
    <n v="-3"/>
  </r>
  <r>
    <s v="TXN-0027"/>
    <d v="2026-04-05T00:00:00"/>
    <x v="2"/>
    <x v="4"/>
    <x v="0"/>
    <n v="5327"/>
    <n v="5899"/>
    <s v="Bank"/>
    <s v="Takoradi"/>
    <s v="Apr"/>
    <n v="2026"/>
    <n v="-572"/>
  </r>
  <r>
    <s v="TXN-0028"/>
    <d v="2026-01-08T00:00:00"/>
    <x v="1"/>
    <x v="3"/>
    <x v="0"/>
    <n v="410"/>
    <n v="477"/>
    <s v="Mobile Money"/>
    <s v="Accra"/>
    <s v="Jan"/>
    <n v="2026"/>
    <n v="-67"/>
  </r>
  <r>
    <s v="TXN-0029"/>
    <d v="2026-01-26T00:00:00"/>
    <x v="0"/>
    <x v="7"/>
    <x v="0"/>
    <n v="5918"/>
    <n v="5761"/>
    <s v="Cash"/>
    <s v="Takoradi"/>
    <s v="Jan"/>
    <n v="2026"/>
    <n v="157"/>
  </r>
  <r>
    <s v="TXN-0030"/>
    <d v="2026-06-09T00:00:00"/>
    <x v="1"/>
    <x v="0"/>
    <x v="0"/>
    <n v="5106"/>
    <n v="4562"/>
    <s v="Mobile Money"/>
    <s v="Accra"/>
    <s v="Jun"/>
    <n v="2026"/>
    <n v="544"/>
  </r>
  <r>
    <s v="TXN-0031"/>
    <d v="2026-04-15T00:00:00"/>
    <x v="0"/>
    <x v="5"/>
    <x v="1"/>
    <n v="12857"/>
    <n v="12176"/>
    <s v="Bank"/>
    <s v="Takoradi"/>
    <s v="Apr"/>
    <n v="2026"/>
    <n v="681"/>
  </r>
  <r>
    <s v="TXN-0032"/>
    <d v="2026-03-21T00:00:00"/>
    <x v="1"/>
    <x v="5"/>
    <x v="1"/>
    <n v="11377"/>
    <n v="12045"/>
    <s v="Cash"/>
    <s v="Accra"/>
    <s v="Mar"/>
    <n v="2026"/>
    <n v="-668"/>
  </r>
  <r>
    <s v="TXN-0033"/>
    <d v="2026-02-23T00:00:00"/>
    <x v="1"/>
    <x v="1"/>
    <x v="1"/>
    <n v="17184"/>
    <n v="17818"/>
    <s v="Bank"/>
    <s v="Accra"/>
    <s v="Feb"/>
    <n v="2026"/>
    <n v="-634"/>
  </r>
  <r>
    <s v="TXN-0034"/>
    <d v="2026-04-27T00:00:00"/>
    <x v="3"/>
    <x v="4"/>
    <x v="0"/>
    <n v="2052"/>
    <n v="2379"/>
    <s v="Bank"/>
    <s v="Accra"/>
    <s v="Apr"/>
    <n v="2026"/>
    <n v="-327"/>
  </r>
  <r>
    <s v="TXN-0035"/>
    <d v="2026-04-04T00:00:00"/>
    <x v="1"/>
    <x v="4"/>
    <x v="0"/>
    <n v="2391"/>
    <n v="2742"/>
    <s v="Cash"/>
    <s v="Accra"/>
    <s v="Apr"/>
    <n v="2026"/>
    <n v="-351"/>
  </r>
  <r>
    <s v="TXN-0036"/>
    <d v="2026-05-09T00:00:00"/>
    <x v="1"/>
    <x v="3"/>
    <x v="0"/>
    <n v="5818"/>
    <n v="5622"/>
    <s v="Cash"/>
    <s v="Takoradi"/>
    <s v="May"/>
    <n v="2026"/>
    <n v="196"/>
  </r>
  <r>
    <s v="TXN-0037"/>
    <d v="2026-04-28T00:00:00"/>
    <x v="3"/>
    <x v="2"/>
    <x v="0"/>
    <n v="3865"/>
    <n v="4347"/>
    <s v="Bank"/>
    <s v="Kumasi"/>
    <s v="Apr"/>
    <n v="2026"/>
    <n v="-482"/>
  </r>
  <r>
    <s v="TXN-0038"/>
    <d v="2026-05-14T00:00:00"/>
    <x v="3"/>
    <x v="7"/>
    <x v="0"/>
    <n v="5616"/>
    <n v="5638"/>
    <s v="Bank"/>
    <s v="Takoradi"/>
    <s v="May"/>
    <n v="2026"/>
    <n v="-22"/>
  </r>
  <r>
    <s v="TXN-0039"/>
    <d v="2026-03-31T00:00:00"/>
    <x v="0"/>
    <x v="6"/>
    <x v="0"/>
    <n v="6342"/>
    <n v="7016"/>
    <s v="Cash"/>
    <s v="Kumasi"/>
    <s v="Mar"/>
    <n v="2026"/>
    <n v="-674"/>
  </r>
  <r>
    <s v="TXN-0040"/>
    <d v="2026-02-13T00:00:00"/>
    <x v="2"/>
    <x v="6"/>
    <x v="0"/>
    <n v="1213"/>
    <n v="1233"/>
    <s v="Cash"/>
    <s v="Kumasi"/>
    <s v="Feb"/>
    <n v="2026"/>
    <n v="-20"/>
  </r>
  <r>
    <s v="TXN-0041"/>
    <d v="2026-04-20T00:00:00"/>
    <x v="0"/>
    <x v="1"/>
    <x v="1"/>
    <n v="13153"/>
    <n v="12307"/>
    <s v="Cash"/>
    <s v="Takoradi"/>
    <s v="Apr"/>
    <n v="2026"/>
    <n v="846"/>
  </r>
  <r>
    <s v="TXN-0042"/>
    <d v="2026-02-07T00:00:00"/>
    <x v="3"/>
    <x v="4"/>
    <x v="0"/>
    <n v="1130"/>
    <n v="1063"/>
    <s v="Mobile Money"/>
    <s v="Takoradi"/>
    <s v="Feb"/>
    <n v="2026"/>
    <n v="67"/>
  </r>
  <r>
    <s v="TXN-0043"/>
    <d v="2026-04-16T00:00:00"/>
    <x v="0"/>
    <x v="7"/>
    <x v="0"/>
    <n v="3572"/>
    <n v="3808"/>
    <s v="Cash"/>
    <s v="Kumasi"/>
    <s v="Apr"/>
    <n v="2026"/>
    <n v="-236"/>
  </r>
  <r>
    <s v="TXN-0044"/>
    <d v="2026-05-07T00:00:00"/>
    <x v="2"/>
    <x v="7"/>
    <x v="0"/>
    <n v="3251"/>
    <n v="3832"/>
    <s v="Bank"/>
    <s v="Accra"/>
    <s v="May"/>
    <n v="2026"/>
    <n v="-581"/>
  </r>
  <r>
    <s v="TXN-0045"/>
    <d v="2026-01-29T00:00:00"/>
    <x v="3"/>
    <x v="6"/>
    <x v="0"/>
    <n v="2294"/>
    <n v="2369"/>
    <s v="Mobile Money"/>
    <s v="Takoradi"/>
    <s v="Jan"/>
    <n v="2026"/>
    <n v="-75"/>
  </r>
  <r>
    <s v="TXN-0046"/>
    <d v="2026-03-20T00:00:00"/>
    <x v="0"/>
    <x v="4"/>
    <x v="0"/>
    <n v="6414"/>
    <n v="5760"/>
    <s v="Bank"/>
    <s v="Takoradi"/>
    <s v="Mar"/>
    <n v="2026"/>
    <n v="654"/>
  </r>
  <r>
    <s v="TXN-0047"/>
    <d v="2026-05-23T00:00:00"/>
    <x v="2"/>
    <x v="1"/>
    <x v="1"/>
    <n v="11306"/>
    <n v="9754"/>
    <s v="Bank"/>
    <s v="Accra"/>
    <s v="May"/>
    <n v="2026"/>
    <n v="1552"/>
  </r>
  <r>
    <s v="TXN-0048"/>
    <d v="2026-03-17T00:00:00"/>
    <x v="0"/>
    <x v="2"/>
    <x v="0"/>
    <n v="1656"/>
    <n v="1976"/>
    <s v="Mobile Money"/>
    <s v="Accra"/>
    <s v="Mar"/>
    <n v="2026"/>
    <n v="-320"/>
  </r>
  <r>
    <s v="TXN-0049"/>
    <d v="2026-04-04T00:00:00"/>
    <x v="1"/>
    <x v="5"/>
    <x v="1"/>
    <n v="17526"/>
    <n v="17716"/>
    <s v="Bank"/>
    <s v="Takoradi"/>
    <s v="Apr"/>
    <n v="2026"/>
    <n v="-190"/>
  </r>
  <r>
    <s v="TXN-0050"/>
    <d v="2026-06-16T00:00:00"/>
    <x v="1"/>
    <x v="1"/>
    <x v="1"/>
    <n v="5349"/>
    <n v="5831"/>
    <s v="Mobile Money"/>
    <s v="Kumasi"/>
    <s v="Jun"/>
    <n v="2026"/>
    <n v="-482"/>
  </r>
  <r>
    <s v="TXN-0051"/>
    <d v="2026-04-02T00:00:00"/>
    <x v="1"/>
    <x v="0"/>
    <x v="0"/>
    <n v="5294"/>
    <n v="6057"/>
    <s v="Mobile Money"/>
    <s v="Accra"/>
    <s v="Apr"/>
    <n v="2026"/>
    <n v="-763"/>
  </r>
  <r>
    <s v="TXN-0052"/>
    <d v="2026-01-06T00:00:00"/>
    <x v="0"/>
    <x v="6"/>
    <x v="0"/>
    <n v="1370"/>
    <n v="1400"/>
    <s v="Mobile Money"/>
    <s v="Accra"/>
    <s v="Jan"/>
    <n v="2026"/>
    <n v="-30"/>
  </r>
  <r>
    <s v="TXN-0053"/>
    <d v="2026-05-21T00:00:00"/>
    <x v="0"/>
    <x v="7"/>
    <x v="0"/>
    <n v="3424"/>
    <n v="4064"/>
    <s v="Bank"/>
    <s v="Accra"/>
    <s v="May"/>
    <n v="2026"/>
    <n v="-640"/>
  </r>
  <r>
    <s v="TXN-0054"/>
    <d v="2026-01-16T00:00:00"/>
    <x v="3"/>
    <x v="4"/>
    <x v="0"/>
    <n v="1998"/>
    <n v="1773"/>
    <s v="Bank"/>
    <s v="Accra"/>
    <s v="Jan"/>
    <n v="2026"/>
    <n v="225"/>
  </r>
  <r>
    <s v="TXN-0055"/>
    <d v="2026-01-08T00:00:00"/>
    <x v="3"/>
    <x v="2"/>
    <x v="0"/>
    <n v="1027"/>
    <n v="1119"/>
    <s v="Mobile Money"/>
    <s v="Accra"/>
    <s v="Jan"/>
    <n v="2026"/>
    <n v="-92"/>
  </r>
  <r>
    <s v="TXN-0056"/>
    <d v="2026-06-11T00:00:00"/>
    <x v="0"/>
    <x v="0"/>
    <x v="0"/>
    <n v="1792"/>
    <n v="1812"/>
    <s v="Cash"/>
    <s v="Takoradi"/>
    <s v="Jun"/>
    <n v="2026"/>
    <n v="-20"/>
  </r>
  <r>
    <s v="TXN-0057"/>
    <d v="2026-03-03T00:00:00"/>
    <x v="0"/>
    <x v="4"/>
    <x v="0"/>
    <n v="3301"/>
    <n v="2906"/>
    <s v="Bank"/>
    <s v="Takoradi"/>
    <s v="Mar"/>
    <n v="2026"/>
    <n v="395"/>
  </r>
  <r>
    <s v="TXN-0058"/>
    <d v="2026-02-06T00:00:00"/>
    <x v="1"/>
    <x v="4"/>
    <x v="0"/>
    <n v="2542"/>
    <n v="2269"/>
    <s v="Mobile Money"/>
    <s v="Accra"/>
    <s v="Feb"/>
    <n v="2026"/>
    <n v="273"/>
  </r>
  <r>
    <s v="TXN-0059"/>
    <d v="2026-01-04T00:00:00"/>
    <x v="1"/>
    <x v="6"/>
    <x v="0"/>
    <n v="1717"/>
    <n v="1596"/>
    <s v="Cash"/>
    <s v="Takoradi"/>
    <s v="Jan"/>
    <n v="2026"/>
    <n v="121"/>
  </r>
  <r>
    <s v="TXN-0060"/>
    <d v="2026-04-14T00:00:00"/>
    <x v="1"/>
    <x v="4"/>
    <x v="0"/>
    <n v="6303"/>
    <n v="6058"/>
    <s v="Cash"/>
    <s v="Kumasi"/>
    <s v="Apr"/>
    <n v="2026"/>
    <n v="245"/>
  </r>
  <r>
    <s v="TXN-0061"/>
    <d v="2026-06-09T00:00:00"/>
    <x v="0"/>
    <x v="2"/>
    <x v="0"/>
    <n v="5306"/>
    <n v="5505"/>
    <s v="Bank"/>
    <s v="Accra"/>
    <s v="Jun"/>
    <n v="2026"/>
    <n v="-199"/>
  </r>
  <r>
    <s v="TXN-0062"/>
    <d v="2026-04-09T00:00:00"/>
    <x v="2"/>
    <x v="4"/>
    <x v="0"/>
    <n v="2283"/>
    <n v="2429"/>
    <s v="Mobile Money"/>
    <s v="Takoradi"/>
    <s v="Apr"/>
    <n v="2026"/>
    <n v="-146"/>
  </r>
  <r>
    <s v="TXN-0063"/>
    <d v="2026-03-13T00:00:00"/>
    <x v="3"/>
    <x v="0"/>
    <x v="0"/>
    <n v="2165"/>
    <n v="2100"/>
    <s v="Bank"/>
    <s v="Takoradi"/>
    <s v="Mar"/>
    <n v="2026"/>
    <n v="65"/>
  </r>
  <r>
    <s v="TXN-0064"/>
    <d v="2026-02-14T00:00:00"/>
    <x v="0"/>
    <x v="0"/>
    <x v="0"/>
    <n v="3071"/>
    <n v="3199"/>
    <s v="Cash"/>
    <s v="Kumasi"/>
    <s v="Feb"/>
    <n v="2026"/>
    <n v="-128"/>
  </r>
  <r>
    <s v="TXN-0065"/>
    <d v="2026-04-06T00:00:00"/>
    <x v="0"/>
    <x v="6"/>
    <x v="0"/>
    <n v="3006"/>
    <n v="3509"/>
    <s v="Mobile Money"/>
    <s v="Takoradi"/>
    <s v="Apr"/>
    <n v="2026"/>
    <n v="-503"/>
  </r>
  <r>
    <s v="TXN-0066"/>
    <d v="2026-01-19T00:00:00"/>
    <x v="2"/>
    <x v="0"/>
    <x v="0"/>
    <n v="1517"/>
    <n v="1621"/>
    <s v="Cash"/>
    <s v="Takoradi"/>
    <s v="Jan"/>
    <n v="2026"/>
    <n v="-104"/>
  </r>
  <r>
    <s v="TXN-0067"/>
    <d v="2026-06-07T00:00:00"/>
    <x v="2"/>
    <x v="4"/>
    <x v="0"/>
    <n v="2966"/>
    <n v="3412"/>
    <s v="Cash"/>
    <s v="Kumasi"/>
    <s v="Jun"/>
    <n v="2026"/>
    <n v="-446"/>
  </r>
  <r>
    <s v="TXN-0068"/>
    <d v="2026-06-18T00:00:00"/>
    <x v="0"/>
    <x v="4"/>
    <x v="0"/>
    <n v="5361"/>
    <n v="5302"/>
    <s v="Mobile Money"/>
    <s v="Takoradi"/>
    <s v="Jun"/>
    <n v="2026"/>
    <n v="59"/>
  </r>
  <r>
    <s v="TXN-0069"/>
    <d v="2026-06-21T00:00:00"/>
    <x v="2"/>
    <x v="5"/>
    <x v="1"/>
    <n v="4514"/>
    <n v="5009"/>
    <s v="Cash"/>
    <s v="Accra"/>
    <s v="Jun"/>
    <n v="2026"/>
    <n v="-495"/>
  </r>
  <r>
    <s v="TXN-0070"/>
    <d v="2026-02-13T00:00:00"/>
    <x v="3"/>
    <x v="6"/>
    <x v="0"/>
    <n v="3690"/>
    <n v="3431"/>
    <s v="Mobile Money"/>
    <s v="Accra"/>
    <s v="Feb"/>
    <n v="2026"/>
    <n v="259"/>
  </r>
  <r>
    <s v="TXN-0071"/>
    <d v="2026-02-20T00:00:00"/>
    <x v="2"/>
    <x v="2"/>
    <x v="0"/>
    <n v="2344"/>
    <n v="2515"/>
    <s v="Mobile Money"/>
    <s v="Accra"/>
    <s v="Feb"/>
    <n v="2026"/>
    <n v="-171"/>
  </r>
  <r>
    <s v="TXN-0072"/>
    <d v="2026-03-21T00:00:00"/>
    <x v="1"/>
    <x v="0"/>
    <x v="0"/>
    <n v="3855"/>
    <n v="3455"/>
    <s v="Cash"/>
    <s v="Kumasi"/>
    <s v="Mar"/>
    <n v="2026"/>
    <n v="400"/>
  </r>
  <r>
    <s v="TXN-0073"/>
    <d v="2026-04-10T00:00:00"/>
    <x v="2"/>
    <x v="0"/>
    <x v="0"/>
    <n v="3044"/>
    <n v="2878"/>
    <s v="Bank"/>
    <s v="Takoradi"/>
    <s v="Apr"/>
    <n v="2026"/>
    <n v="166"/>
  </r>
  <r>
    <s v="TXN-0074"/>
    <d v="2026-05-09T00:00:00"/>
    <x v="0"/>
    <x v="0"/>
    <x v="0"/>
    <n v="5500"/>
    <n v="5950"/>
    <s v="Cash"/>
    <s v="Kumasi"/>
    <s v="May"/>
    <n v="2026"/>
    <n v="-450"/>
  </r>
  <r>
    <s v="TXN-0075"/>
    <d v="2026-02-04T00:00:00"/>
    <x v="0"/>
    <x v="6"/>
    <x v="0"/>
    <n v="301"/>
    <n v="263"/>
    <s v="Cash"/>
    <s v="Takoradi"/>
    <s v="Feb"/>
    <n v="2026"/>
    <n v="38"/>
  </r>
  <r>
    <s v="TXN-0076"/>
    <d v="2026-05-04T00:00:00"/>
    <x v="1"/>
    <x v="6"/>
    <x v="0"/>
    <n v="1341"/>
    <n v="1463"/>
    <s v="Mobile Money"/>
    <s v="Kumasi"/>
    <s v="May"/>
    <n v="2026"/>
    <n v="-122"/>
  </r>
  <r>
    <s v="TXN-0077"/>
    <d v="2026-03-08T00:00:00"/>
    <x v="3"/>
    <x v="3"/>
    <x v="0"/>
    <n v="3562"/>
    <n v="3543"/>
    <s v="Bank"/>
    <s v="Accra"/>
    <s v="Mar"/>
    <n v="2026"/>
    <n v="19"/>
  </r>
  <r>
    <s v="TXN-0078"/>
    <d v="2026-01-30T00:00:00"/>
    <x v="2"/>
    <x v="0"/>
    <x v="0"/>
    <n v="4451"/>
    <n v="4262"/>
    <s v="Bank"/>
    <s v="Accra"/>
    <s v="Jan"/>
    <n v="2026"/>
    <n v="189"/>
  </r>
  <r>
    <s v="TXN-0079"/>
    <d v="2026-05-12T00:00:00"/>
    <x v="3"/>
    <x v="7"/>
    <x v="0"/>
    <n v="4116"/>
    <n v="3941"/>
    <s v="Bank"/>
    <s v="Accra"/>
    <s v="May"/>
    <n v="2026"/>
    <n v="175"/>
  </r>
  <r>
    <s v="TXN-0080"/>
    <d v="2026-04-08T00:00:00"/>
    <x v="0"/>
    <x v="2"/>
    <x v="0"/>
    <n v="4431"/>
    <n v="5177"/>
    <s v="Bank"/>
    <s v="Accra"/>
    <s v="Apr"/>
    <n v="2026"/>
    <n v="-746"/>
  </r>
  <r>
    <s v="TXN-0081"/>
    <d v="2026-05-22T00:00:00"/>
    <x v="0"/>
    <x v="2"/>
    <x v="0"/>
    <n v="987"/>
    <n v="1112"/>
    <s v="Bank"/>
    <s v="Takoradi"/>
    <s v="May"/>
    <n v="2026"/>
    <n v="-125"/>
  </r>
  <r>
    <s v="TXN-0082"/>
    <d v="2026-01-28T00:00:00"/>
    <x v="2"/>
    <x v="0"/>
    <x v="0"/>
    <n v="4109"/>
    <n v="4380"/>
    <s v="Mobile Money"/>
    <s v="Takoradi"/>
    <s v="Jan"/>
    <n v="2026"/>
    <n v="-271"/>
  </r>
  <r>
    <s v="TXN-0083"/>
    <d v="2026-04-22T00:00:00"/>
    <x v="1"/>
    <x v="1"/>
    <x v="1"/>
    <n v="11070"/>
    <n v="9480"/>
    <s v="Cash"/>
    <s v="Kumasi"/>
    <s v="Apr"/>
    <n v="2026"/>
    <n v="1590"/>
  </r>
  <r>
    <s v="TXN-0084"/>
    <d v="2026-01-22T00:00:00"/>
    <x v="1"/>
    <x v="7"/>
    <x v="0"/>
    <n v="736"/>
    <n v="766"/>
    <s v="Mobile Money"/>
    <s v="Takoradi"/>
    <s v="Jan"/>
    <n v="2026"/>
    <n v="-30"/>
  </r>
  <r>
    <s v="TXN-0085"/>
    <d v="2026-05-20T00:00:00"/>
    <x v="0"/>
    <x v="7"/>
    <x v="0"/>
    <n v="166"/>
    <n v="190"/>
    <s v="Cash"/>
    <s v="Accra"/>
    <s v="May"/>
    <n v="2026"/>
    <n v="-24"/>
  </r>
  <r>
    <s v="TXN-0086"/>
    <d v="2026-03-27T00:00:00"/>
    <x v="0"/>
    <x v="1"/>
    <x v="1"/>
    <n v="3581"/>
    <n v="3610"/>
    <s v="Cash"/>
    <s v="Accra"/>
    <s v="Mar"/>
    <n v="2026"/>
    <n v="-29"/>
  </r>
  <r>
    <s v="TXN-0087"/>
    <d v="2026-04-15T00:00:00"/>
    <x v="1"/>
    <x v="6"/>
    <x v="0"/>
    <n v="2392"/>
    <n v="2702"/>
    <s v="Mobile Money"/>
    <s v="Accra"/>
    <s v="Apr"/>
    <n v="2026"/>
    <n v="-310"/>
  </r>
  <r>
    <s v="TXN-0088"/>
    <d v="2026-03-15T00:00:00"/>
    <x v="0"/>
    <x v="1"/>
    <x v="1"/>
    <n v="13104"/>
    <n v="13860"/>
    <s v="Bank"/>
    <s v="Takoradi"/>
    <s v="Mar"/>
    <n v="2026"/>
    <n v="-756"/>
  </r>
  <r>
    <s v="TXN-0089"/>
    <d v="2026-01-11T00:00:00"/>
    <x v="2"/>
    <x v="5"/>
    <x v="1"/>
    <n v="4962"/>
    <n v="5670"/>
    <s v="Bank"/>
    <s v="Takoradi"/>
    <s v="Jan"/>
    <n v="2026"/>
    <n v="-708"/>
  </r>
  <r>
    <s v="TXN-0090"/>
    <d v="2026-02-04T00:00:00"/>
    <x v="2"/>
    <x v="3"/>
    <x v="0"/>
    <n v="4224"/>
    <n v="4378"/>
    <s v="Mobile Money"/>
    <s v="Kumasi"/>
    <s v="Feb"/>
    <n v="2026"/>
    <n v="-154"/>
  </r>
  <r>
    <s v="TXN-0091"/>
    <d v="2026-04-14T00:00:00"/>
    <x v="0"/>
    <x v="2"/>
    <x v="0"/>
    <n v="259"/>
    <n v="280"/>
    <s v="Cash"/>
    <s v="Takoradi"/>
    <s v="Apr"/>
    <n v="2026"/>
    <n v="-21"/>
  </r>
  <r>
    <s v="TXN-0092"/>
    <d v="2026-06-29T00:00:00"/>
    <x v="0"/>
    <x v="0"/>
    <x v="0"/>
    <n v="2772"/>
    <n v="3085"/>
    <s v="Bank"/>
    <s v="Kumasi"/>
    <s v="Jun"/>
    <n v="2026"/>
    <n v="-313"/>
  </r>
  <r>
    <s v="TXN-0093"/>
    <d v="2026-04-22T00:00:00"/>
    <x v="3"/>
    <x v="7"/>
    <x v="0"/>
    <n v="1788"/>
    <n v="1625"/>
    <s v="Mobile Money"/>
    <s v="Kumasi"/>
    <s v="Apr"/>
    <n v="2026"/>
    <n v="163"/>
  </r>
  <r>
    <s v="TXN-0094"/>
    <d v="2026-03-16T00:00:00"/>
    <x v="0"/>
    <x v="4"/>
    <x v="0"/>
    <n v="870"/>
    <n v="926"/>
    <s v="Cash"/>
    <s v="Kumasi"/>
    <s v="Mar"/>
    <n v="2026"/>
    <n v="-56"/>
  </r>
  <r>
    <s v="TXN-0095"/>
    <d v="2026-01-11T00:00:00"/>
    <x v="3"/>
    <x v="4"/>
    <x v="0"/>
    <n v="4738"/>
    <n v="4529"/>
    <s v="Cash"/>
    <s v="Takoradi"/>
    <s v="Jan"/>
    <n v="2026"/>
    <n v="209"/>
  </r>
  <r>
    <s v="TXN-0096"/>
    <d v="2026-02-05T00:00:00"/>
    <x v="2"/>
    <x v="4"/>
    <x v="0"/>
    <n v="571"/>
    <n v="668"/>
    <s v="Mobile Money"/>
    <s v="Takoradi"/>
    <s v="Feb"/>
    <n v="2026"/>
    <n v="-97"/>
  </r>
  <r>
    <s v="TXN-0097"/>
    <d v="2026-02-01T00:00:00"/>
    <x v="3"/>
    <x v="2"/>
    <x v="0"/>
    <n v="815"/>
    <n v="966"/>
    <s v="Mobile Money"/>
    <s v="Accra"/>
    <s v="Feb"/>
    <n v="2026"/>
    <n v="-151"/>
  </r>
  <r>
    <s v="TXN-0098"/>
    <d v="2026-06-23T00:00:00"/>
    <x v="3"/>
    <x v="7"/>
    <x v="0"/>
    <n v="2889"/>
    <n v="3465"/>
    <s v="Cash"/>
    <s v="Accra"/>
    <s v="Jun"/>
    <n v="2026"/>
    <n v="-576"/>
  </r>
  <r>
    <s v="TXN-0099"/>
    <d v="2026-03-23T00:00:00"/>
    <x v="0"/>
    <x v="4"/>
    <x v="0"/>
    <n v="2862"/>
    <n v="2484"/>
    <s v="Mobile Money"/>
    <s v="Takoradi"/>
    <s v="Mar"/>
    <n v="2026"/>
    <n v="378"/>
  </r>
  <r>
    <s v="TXN-0100"/>
    <d v="2026-02-22T00:00:00"/>
    <x v="3"/>
    <x v="0"/>
    <x v="0"/>
    <n v="1896"/>
    <n v="2023"/>
    <s v="Mobile Money"/>
    <s v="Kumasi"/>
    <s v="Feb"/>
    <n v="2026"/>
    <n v="-127"/>
  </r>
  <r>
    <s v="TXN-0101"/>
    <d v="2026-02-11T00:00:00"/>
    <x v="1"/>
    <x v="0"/>
    <x v="0"/>
    <n v="4313"/>
    <n v="3971"/>
    <s v="Mobile Money"/>
    <s v="Kumasi"/>
    <s v="Feb"/>
    <n v="2026"/>
    <n v="342"/>
  </r>
  <r>
    <s v="TXN-0102"/>
    <d v="2026-02-18T00:00:00"/>
    <x v="2"/>
    <x v="4"/>
    <x v="0"/>
    <n v="5653"/>
    <n v="5071"/>
    <s v="Mobile Money"/>
    <s v="Kumasi"/>
    <s v="Feb"/>
    <n v="2026"/>
    <n v="582"/>
  </r>
  <r>
    <s v="TXN-0103"/>
    <d v="2026-02-09T00:00:00"/>
    <x v="1"/>
    <x v="0"/>
    <x v="0"/>
    <n v="1039"/>
    <n v="956"/>
    <s v="Bank"/>
    <s v="Accra"/>
    <s v="Feb"/>
    <n v="2026"/>
    <n v="83"/>
  </r>
  <r>
    <s v="TXN-0104"/>
    <d v="2026-06-09T00:00:00"/>
    <x v="1"/>
    <x v="6"/>
    <x v="0"/>
    <n v="678"/>
    <n v="654"/>
    <s v="Mobile Money"/>
    <s v="Accra"/>
    <s v="Jun"/>
    <n v="2026"/>
    <n v="24"/>
  </r>
  <r>
    <s v="TXN-0105"/>
    <d v="2026-06-17T00:00:00"/>
    <x v="2"/>
    <x v="7"/>
    <x v="0"/>
    <n v="3308"/>
    <n v="3863"/>
    <s v="Mobile Money"/>
    <s v="Takoradi"/>
    <s v="Jun"/>
    <n v="2026"/>
    <n v="-555"/>
  </r>
  <r>
    <s v="TXN-0106"/>
    <d v="2026-06-16T00:00:00"/>
    <x v="2"/>
    <x v="3"/>
    <x v="0"/>
    <n v="4828"/>
    <n v="4347"/>
    <s v="Mobile Money"/>
    <s v="Kumasi"/>
    <s v="Jun"/>
    <n v="2026"/>
    <n v="481"/>
  </r>
  <r>
    <s v="TXN-0107"/>
    <d v="2026-01-12T00:00:00"/>
    <x v="1"/>
    <x v="3"/>
    <x v="0"/>
    <n v="2009"/>
    <n v="2039"/>
    <s v="Mobile Money"/>
    <s v="Accra"/>
    <s v="Jan"/>
    <n v="2026"/>
    <n v="-30"/>
  </r>
  <r>
    <s v="TXN-0108"/>
    <d v="2026-01-23T00:00:00"/>
    <x v="2"/>
    <x v="3"/>
    <x v="0"/>
    <n v="3871"/>
    <n v="4115"/>
    <s v="Bank"/>
    <s v="Kumasi"/>
    <s v="Jan"/>
    <n v="2026"/>
    <n v="-244"/>
  </r>
  <r>
    <s v="TXN-0109"/>
    <d v="2026-03-12T00:00:00"/>
    <x v="2"/>
    <x v="3"/>
    <x v="0"/>
    <n v="4331"/>
    <n v="4513"/>
    <s v="Mobile Money"/>
    <s v="Takoradi"/>
    <s v="Mar"/>
    <n v="2026"/>
    <n v="-182"/>
  </r>
  <r>
    <s v="TXN-0110"/>
    <d v="2026-03-06T00:00:00"/>
    <x v="0"/>
    <x v="6"/>
    <x v="0"/>
    <n v="747"/>
    <n v="737"/>
    <s v="Mobile Money"/>
    <s v="Takoradi"/>
    <s v="Mar"/>
    <n v="2026"/>
    <n v="10"/>
  </r>
  <r>
    <s v="TXN-0111"/>
    <d v="2026-04-20T00:00:00"/>
    <x v="2"/>
    <x v="1"/>
    <x v="1"/>
    <n v="2557"/>
    <n v="2519"/>
    <s v="Bank"/>
    <s v="Takoradi"/>
    <s v="Apr"/>
    <n v="2026"/>
    <n v="38"/>
  </r>
  <r>
    <s v="TXN-0112"/>
    <d v="2026-05-23T00:00:00"/>
    <x v="3"/>
    <x v="7"/>
    <x v="0"/>
    <n v="1598"/>
    <n v="1734"/>
    <s v="Bank"/>
    <s v="Accra"/>
    <s v="May"/>
    <n v="2026"/>
    <n v="-136"/>
  </r>
  <r>
    <s v="TXN-0113"/>
    <d v="2026-04-14T00:00:00"/>
    <x v="3"/>
    <x v="3"/>
    <x v="0"/>
    <n v="2549"/>
    <n v="2664"/>
    <s v="Cash"/>
    <s v="Takoradi"/>
    <s v="Apr"/>
    <n v="2026"/>
    <n v="-115"/>
  </r>
  <r>
    <s v="TXN-0114"/>
    <d v="2026-05-11T00:00:00"/>
    <x v="3"/>
    <x v="5"/>
    <x v="1"/>
    <n v="6956"/>
    <n v="7567"/>
    <s v="Bank"/>
    <s v="Kumasi"/>
    <s v="May"/>
    <n v="2026"/>
    <n v="-611"/>
  </r>
  <r>
    <s v="TXN-0115"/>
    <d v="2026-03-27T00:00:00"/>
    <x v="3"/>
    <x v="1"/>
    <x v="1"/>
    <n v="1549"/>
    <n v="1386"/>
    <s v="Bank"/>
    <s v="Kumasi"/>
    <s v="Mar"/>
    <n v="2026"/>
    <n v="163"/>
  </r>
  <r>
    <s v="TXN-0116"/>
    <d v="2026-03-09T00:00:00"/>
    <x v="3"/>
    <x v="4"/>
    <x v="0"/>
    <n v="2595"/>
    <n v="2860"/>
    <s v="Mobile Money"/>
    <s v="Takoradi"/>
    <s v="Mar"/>
    <n v="2026"/>
    <n v="-265"/>
  </r>
  <r>
    <s v="TXN-0117"/>
    <d v="2026-04-23T00:00:00"/>
    <x v="3"/>
    <x v="3"/>
    <x v="0"/>
    <n v="4974"/>
    <n v="5615"/>
    <s v="Mobile Money"/>
    <s v="Kumasi"/>
    <s v="Apr"/>
    <n v="2026"/>
    <n v="-641"/>
  </r>
  <r>
    <s v="TXN-0118"/>
    <d v="2026-04-06T00:00:00"/>
    <x v="3"/>
    <x v="7"/>
    <x v="0"/>
    <n v="2394"/>
    <n v="2800"/>
    <s v="Bank"/>
    <s v="Kumasi"/>
    <s v="Apr"/>
    <n v="2026"/>
    <n v="-406"/>
  </r>
  <r>
    <s v="TXN-0119"/>
    <d v="2026-02-28T00:00:00"/>
    <x v="0"/>
    <x v="6"/>
    <x v="0"/>
    <n v="5802"/>
    <n v="5593"/>
    <s v="Cash"/>
    <s v="Kumasi"/>
    <s v="Feb"/>
    <n v="2026"/>
    <n v="209"/>
  </r>
  <r>
    <s v="TXN-0120"/>
    <d v="2026-01-02T00:00:00"/>
    <x v="3"/>
    <x v="4"/>
    <x v="0"/>
    <n v="1079"/>
    <n v="949"/>
    <s v="Bank"/>
    <s v="Accra"/>
    <s v="Jan"/>
    <n v="2026"/>
    <n v="130"/>
  </r>
  <r>
    <s v="TXN-0121"/>
    <d v="2026-05-08T00:00:00"/>
    <x v="1"/>
    <x v="0"/>
    <x v="0"/>
    <n v="5665"/>
    <n v="5880"/>
    <s v="Mobile Money"/>
    <s v="Takoradi"/>
    <s v="May"/>
    <n v="2026"/>
    <n v="-215"/>
  </r>
  <r>
    <s v="TXN-0122"/>
    <d v="2026-06-27T00:00:00"/>
    <x v="2"/>
    <x v="7"/>
    <x v="0"/>
    <n v="651"/>
    <n v="574"/>
    <s v="Mobile Money"/>
    <s v="Kumasi"/>
    <s v="Jun"/>
    <n v="2026"/>
    <n v="77"/>
  </r>
  <r>
    <s v="TXN-0123"/>
    <d v="2026-06-26T00:00:00"/>
    <x v="1"/>
    <x v="3"/>
    <x v="0"/>
    <n v="6200"/>
    <n v="7104"/>
    <s v="Cash"/>
    <s v="Takoradi"/>
    <s v="Jun"/>
    <n v="2026"/>
    <n v="-904"/>
  </r>
  <r>
    <s v="TXN-0124"/>
    <d v="2026-03-02T00:00:00"/>
    <x v="2"/>
    <x v="6"/>
    <x v="0"/>
    <n v="485"/>
    <n v="412"/>
    <s v="Cash"/>
    <s v="Kumasi"/>
    <s v="Mar"/>
    <n v="2026"/>
    <n v="73"/>
  </r>
  <r>
    <s v="TXN-0125"/>
    <d v="2026-05-24T00:00:00"/>
    <x v="2"/>
    <x v="7"/>
    <x v="0"/>
    <n v="2663"/>
    <n v="2968"/>
    <s v="Bank"/>
    <s v="Accra"/>
    <s v="May"/>
    <n v="2026"/>
    <n v="-305"/>
  </r>
  <r>
    <s v="TXN-0126"/>
    <d v="2026-02-03T00:00:00"/>
    <x v="1"/>
    <x v="7"/>
    <x v="0"/>
    <n v="746"/>
    <n v="796"/>
    <s v="Bank"/>
    <s v="Kumasi"/>
    <s v="Feb"/>
    <n v="2026"/>
    <n v="-50"/>
  </r>
  <r>
    <s v="TXN-0127"/>
    <d v="2026-03-12T00:00:00"/>
    <x v="0"/>
    <x v="0"/>
    <x v="0"/>
    <n v="3011"/>
    <n v="2639"/>
    <s v="Cash"/>
    <s v="Accra"/>
    <s v="Mar"/>
    <n v="2026"/>
    <n v="372"/>
  </r>
  <r>
    <s v="TXN-0128"/>
    <d v="2026-03-28T00:00:00"/>
    <x v="2"/>
    <x v="5"/>
    <x v="1"/>
    <n v="15087"/>
    <n v="13892"/>
    <s v="Bank"/>
    <s v="Kumasi"/>
    <s v="Mar"/>
    <n v="2026"/>
    <n v="1195"/>
  </r>
  <r>
    <s v="TXN-0129"/>
    <d v="2026-02-22T00:00:00"/>
    <x v="3"/>
    <x v="3"/>
    <x v="0"/>
    <n v="6497"/>
    <n v="7155"/>
    <s v="Mobile Money"/>
    <s v="Accra"/>
    <s v="Feb"/>
    <n v="2026"/>
    <n v="-658"/>
  </r>
  <r>
    <s v="TXN-0130"/>
    <d v="2026-01-28T00:00:00"/>
    <x v="2"/>
    <x v="6"/>
    <x v="0"/>
    <n v="520"/>
    <n v="621"/>
    <s v="Bank"/>
    <s v="Kumasi"/>
    <s v="Jan"/>
    <n v="2026"/>
    <n v="-101"/>
  </r>
  <r>
    <s v="TXN-0131"/>
    <d v="2026-04-05T00:00:00"/>
    <x v="1"/>
    <x v="5"/>
    <x v="1"/>
    <n v="8093"/>
    <n v="7297"/>
    <s v="Mobile Money"/>
    <s v="Accra"/>
    <s v="Apr"/>
    <n v="2026"/>
    <n v="796"/>
  </r>
  <r>
    <s v="TXN-0132"/>
    <d v="2026-01-21T00:00:00"/>
    <x v="2"/>
    <x v="5"/>
    <x v="1"/>
    <n v="12740"/>
    <n v="14037"/>
    <s v="Bank"/>
    <s v="Takoradi"/>
    <s v="Jan"/>
    <n v="2026"/>
    <n v="-1297"/>
  </r>
  <r>
    <s v="TXN-0133"/>
    <d v="2026-05-08T00:00:00"/>
    <x v="2"/>
    <x v="3"/>
    <x v="0"/>
    <n v="2863"/>
    <n v="2861"/>
    <s v="Mobile Money"/>
    <s v="Accra"/>
    <s v="May"/>
    <n v="2026"/>
    <n v="2"/>
  </r>
  <r>
    <s v="TXN-0134"/>
    <d v="2026-04-24T00:00:00"/>
    <x v="3"/>
    <x v="6"/>
    <x v="0"/>
    <n v="6285"/>
    <n v="5591"/>
    <s v="Bank"/>
    <s v="Kumasi"/>
    <s v="Apr"/>
    <n v="2026"/>
    <n v="694"/>
  </r>
  <r>
    <s v="TXN-0135"/>
    <d v="2026-01-14T00:00:00"/>
    <x v="3"/>
    <x v="1"/>
    <x v="1"/>
    <n v="9087"/>
    <n v="9817"/>
    <s v="Cash"/>
    <s v="Accra"/>
    <s v="Jan"/>
    <n v="2026"/>
    <n v="-730"/>
  </r>
  <r>
    <s v="TXN-0136"/>
    <d v="2026-06-10T00:00:00"/>
    <x v="0"/>
    <x v="7"/>
    <x v="0"/>
    <n v="3498"/>
    <n v="4030"/>
    <s v="Bank"/>
    <s v="Accra"/>
    <s v="Jun"/>
    <n v="2026"/>
    <n v="-532"/>
  </r>
  <r>
    <s v="TXN-0137"/>
    <d v="2026-06-22T00:00:00"/>
    <x v="3"/>
    <x v="0"/>
    <x v="0"/>
    <n v="919"/>
    <n v="1097"/>
    <s v="Cash"/>
    <s v="Takoradi"/>
    <s v="Jun"/>
    <n v="2026"/>
    <n v="-178"/>
  </r>
  <r>
    <s v="TXN-0138"/>
    <d v="2026-05-29T00:00:00"/>
    <x v="1"/>
    <x v="7"/>
    <x v="0"/>
    <n v="2637"/>
    <n v="2839"/>
    <s v="Cash"/>
    <s v="Kumasi"/>
    <s v="May"/>
    <n v="2026"/>
    <n v="-202"/>
  </r>
  <r>
    <s v="TXN-0139"/>
    <d v="2026-05-21T00:00:00"/>
    <x v="2"/>
    <x v="2"/>
    <x v="0"/>
    <n v="4000"/>
    <n v="3967"/>
    <s v="Mobile Money"/>
    <s v="Accra"/>
    <s v="May"/>
    <n v="2026"/>
    <n v="33"/>
  </r>
  <r>
    <s v="TXN-0140"/>
    <d v="2026-03-26T00:00:00"/>
    <x v="2"/>
    <x v="0"/>
    <x v="0"/>
    <n v="1503"/>
    <n v="1656"/>
    <s v="Cash"/>
    <s v="Kumasi"/>
    <s v="Mar"/>
    <n v="2026"/>
    <n v="-153"/>
  </r>
  <r>
    <s v="TXN-0141"/>
    <d v="2026-02-23T00:00:00"/>
    <x v="3"/>
    <x v="5"/>
    <x v="1"/>
    <n v="6003"/>
    <n v="6588"/>
    <s v="Bank"/>
    <s v="Kumasi"/>
    <s v="Feb"/>
    <n v="2026"/>
    <n v="-585"/>
  </r>
  <r>
    <s v="TXN-0142"/>
    <d v="2026-02-27T00:00:00"/>
    <x v="1"/>
    <x v="7"/>
    <x v="0"/>
    <n v="4991"/>
    <n v="5459"/>
    <s v="Bank"/>
    <s v="Accra"/>
    <s v="Feb"/>
    <n v="2026"/>
    <n v="-468"/>
  </r>
  <r>
    <s v="TXN-0143"/>
    <d v="2026-05-21T00:00:00"/>
    <x v="2"/>
    <x v="4"/>
    <x v="0"/>
    <n v="4167"/>
    <n v="4006"/>
    <s v="Cash"/>
    <s v="Accra"/>
    <s v="May"/>
    <n v="2026"/>
    <n v="161"/>
  </r>
  <r>
    <s v="TXN-0144"/>
    <d v="2026-05-19T00:00:00"/>
    <x v="2"/>
    <x v="1"/>
    <x v="1"/>
    <n v="4589"/>
    <n v="5104"/>
    <s v="Mobile Money"/>
    <s v="Kumasi"/>
    <s v="May"/>
    <n v="2026"/>
    <n v="-515"/>
  </r>
  <r>
    <s v="TXN-0145"/>
    <d v="2026-05-25T00:00:00"/>
    <x v="1"/>
    <x v="7"/>
    <x v="0"/>
    <n v="2426"/>
    <n v="2446"/>
    <s v="Cash"/>
    <s v="Takoradi"/>
    <s v="May"/>
    <n v="2026"/>
    <n v="-20"/>
  </r>
  <r>
    <s v="TXN-0146"/>
    <d v="2026-06-27T00:00:00"/>
    <x v="3"/>
    <x v="5"/>
    <x v="1"/>
    <n v="1383"/>
    <n v="1226"/>
    <s v="Mobile Money"/>
    <s v="Takoradi"/>
    <s v="Jun"/>
    <n v="2026"/>
    <n v="157"/>
  </r>
  <r>
    <s v="TXN-0147"/>
    <d v="2026-02-07T00:00:00"/>
    <x v="3"/>
    <x v="1"/>
    <x v="1"/>
    <n v="7615"/>
    <n v="7689"/>
    <s v="Bank"/>
    <s v="Accra"/>
    <s v="Feb"/>
    <n v="2026"/>
    <n v="-74"/>
  </r>
  <r>
    <s v="TXN-0148"/>
    <d v="2026-04-09T00:00:00"/>
    <x v="3"/>
    <x v="7"/>
    <x v="0"/>
    <n v="3684"/>
    <n v="3933"/>
    <s v="Mobile Money"/>
    <s v="Kumasi"/>
    <s v="Apr"/>
    <n v="2026"/>
    <n v="-249"/>
  </r>
  <r>
    <s v="TXN-0149"/>
    <d v="2026-01-12T00:00:00"/>
    <x v="2"/>
    <x v="7"/>
    <x v="0"/>
    <n v="1540"/>
    <n v="1497"/>
    <s v="Cash"/>
    <s v="Accra"/>
    <s v="Jan"/>
    <n v="2026"/>
    <n v="43"/>
  </r>
  <r>
    <s v="TXN-0150"/>
    <d v="2026-06-21T00:00:00"/>
    <x v="1"/>
    <x v="6"/>
    <x v="0"/>
    <n v="5324"/>
    <n v="5551"/>
    <s v="Mobile Money"/>
    <s v="Accra"/>
    <s v="Jun"/>
    <n v="2026"/>
    <n v="-227"/>
  </r>
  <r>
    <s v="TXN-0151"/>
    <d v="2026-02-23T00:00:00"/>
    <x v="2"/>
    <x v="7"/>
    <x v="0"/>
    <n v="2721"/>
    <n v="2545"/>
    <s v="Bank"/>
    <s v="Takoradi"/>
    <s v="Feb"/>
    <n v="2026"/>
    <n v="176"/>
  </r>
  <r>
    <s v="TXN-0152"/>
    <d v="2026-06-04T00:00:00"/>
    <x v="2"/>
    <x v="0"/>
    <x v="0"/>
    <n v="3825"/>
    <n v="4422"/>
    <s v="Bank"/>
    <s v="Takoradi"/>
    <s v="Jun"/>
    <n v="2026"/>
    <n v="-597"/>
  </r>
  <r>
    <s v="TXN-0153"/>
    <d v="2026-05-19T00:00:00"/>
    <x v="2"/>
    <x v="5"/>
    <x v="1"/>
    <n v="3143"/>
    <n v="2757"/>
    <s v="Cash"/>
    <s v="Kumasi"/>
    <s v="May"/>
    <n v="2026"/>
    <n v="386"/>
  </r>
  <r>
    <s v="TXN-0154"/>
    <d v="2026-02-01T00:00:00"/>
    <x v="1"/>
    <x v="4"/>
    <x v="0"/>
    <n v="4235"/>
    <n v="4168"/>
    <s v="Mobile Money"/>
    <s v="Takoradi"/>
    <s v="Feb"/>
    <n v="2026"/>
    <n v="67"/>
  </r>
  <r>
    <s v="TXN-0155"/>
    <d v="2026-01-15T00:00:00"/>
    <x v="0"/>
    <x v="7"/>
    <x v="0"/>
    <n v="5660"/>
    <n v="5249"/>
    <s v="Cash"/>
    <s v="Kumasi"/>
    <s v="Jan"/>
    <n v="2026"/>
    <n v="411"/>
  </r>
  <r>
    <s v="TXN-0156"/>
    <d v="2026-06-23T00:00:00"/>
    <x v="2"/>
    <x v="5"/>
    <x v="1"/>
    <n v="12054"/>
    <n v="11279"/>
    <s v="Bank"/>
    <s v="Takoradi"/>
    <s v="Jun"/>
    <n v="2026"/>
    <n v="775"/>
  </r>
  <r>
    <s v="TXN-0157"/>
    <d v="2026-06-07T00:00:00"/>
    <x v="3"/>
    <x v="7"/>
    <x v="0"/>
    <n v="5134"/>
    <n v="5827"/>
    <s v="Bank"/>
    <s v="Kumasi"/>
    <s v="Jun"/>
    <n v="2026"/>
    <n v="-693"/>
  </r>
  <r>
    <s v="TXN-0158"/>
    <d v="2026-05-12T00:00:00"/>
    <x v="2"/>
    <x v="1"/>
    <x v="1"/>
    <n v="10160"/>
    <n v="9570"/>
    <s v="Bank"/>
    <s v="Accra"/>
    <s v="May"/>
    <n v="2026"/>
    <n v="590"/>
  </r>
  <r>
    <s v="TXN-0159"/>
    <d v="2026-06-04T00:00:00"/>
    <x v="0"/>
    <x v="0"/>
    <x v="0"/>
    <n v="5103"/>
    <n v="5188"/>
    <s v="Bank"/>
    <s v="Takoradi"/>
    <s v="Jun"/>
    <n v="2026"/>
    <n v="-85"/>
  </r>
  <r>
    <s v="TXN-0160"/>
    <d v="2026-02-14T00:00:00"/>
    <x v="1"/>
    <x v="1"/>
    <x v="1"/>
    <n v="10293"/>
    <n v="10574"/>
    <s v="Bank"/>
    <s v="Accra"/>
    <s v="Feb"/>
    <n v="2026"/>
    <n v="-281"/>
  </r>
  <r>
    <s v="TXN-0161"/>
    <d v="2026-04-06T00:00:00"/>
    <x v="3"/>
    <x v="0"/>
    <x v="0"/>
    <n v="4714"/>
    <n v="4987"/>
    <s v="Bank"/>
    <s v="Kumasi"/>
    <s v="Apr"/>
    <n v="2026"/>
    <n v="-273"/>
  </r>
  <r>
    <s v="TXN-0162"/>
    <d v="2026-03-22T00:00:00"/>
    <x v="1"/>
    <x v="4"/>
    <x v="0"/>
    <n v="6392"/>
    <n v="7327"/>
    <s v="Bank"/>
    <s v="Takoradi"/>
    <s v="Mar"/>
    <n v="2026"/>
    <n v="-935"/>
  </r>
  <r>
    <s v="TXN-0163"/>
    <d v="2026-06-23T00:00:00"/>
    <x v="0"/>
    <x v="7"/>
    <x v="0"/>
    <n v="2674"/>
    <n v="2382"/>
    <s v="Cash"/>
    <s v="Accra"/>
    <s v="Jun"/>
    <n v="2026"/>
    <n v="292"/>
  </r>
  <r>
    <s v="TXN-0164"/>
    <d v="2026-03-18T00:00:00"/>
    <x v="2"/>
    <x v="7"/>
    <x v="0"/>
    <n v="5242"/>
    <n v="5771"/>
    <s v="Bank"/>
    <s v="Takoradi"/>
    <s v="Mar"/>
    <n v="2026"/>
    <n v="-529"/>
  </r>
  <r>
    <s v="TXN-0165"/>
    <d v="2026-01-18T00:00:00"/>
    <x v="1"/>
    <x v="2"/>
    <x v="0"/>
    <n v="1645"/>
    <n v="1827"/>
    <s v="Bank"/>
    <s v="Kumasi"/>
    <s v="Jan"/>
    <n v="2026"/>
    <n v="-182"/>
  </r>
  <r>
    <s v="TXN-0166"/>
    <d v="2026-06-27T00:00:00"/>
    <x v="1"/>
    <x v="5"/>
    <x v="1"/>
    <n v="4362"/>
    <n v="4058"/>
    <s v="Mobile Money"/>
    <s v="Takoradi"/>
    <s v="Jun"/>
    <n v="2026"/>
    <n v="304"/>
  </r>
  <r>
    <s v="TXN-0167"/>
    <d v="2026-06-15T00:00:00"/>
    <x v="1"/>
    <x v="3"/>
    <x v="0"/>
    <n v="2110"/>
    <n v="2032"/>
    <s v="Bank"/>
    <s v="Takoradi"/>
    <s v="Jun"/>
    <n v="2026"/>
    <n v="78"/>
  </r>
  <r>
    <s v="TXN-0168"/>
    <d v="2026-02-14T00:00:00"/>
    <x v="2"/>
    <x v="7"/>
    <x v="0"/>
    <n v="5708"/>
    <n v="6209"/>
    <s v="Cash"/>
    <s v="Kumasi"/>
    <s v="Feb"/>
    <n v="2026"/>
    <n v="-501"/>
  </r>
  <r>
    <s v="TXN-0169"/>
    <d v="2026-04-28T00:00:00"/>
    <x v="0"/>
    <x v="6"/>
    <x v="0"/>
    <n v="2202"/>
    <n v="2252"/>
    <s v="Bank"/>
    <s v="Takoradi"/>
    <s v="Apr"/>
    <n v="2026"/>
    <n v="-50"/>
  </r>
  <r>
    <s v="TXN-0170"/>
    <d v="2026-05-13T00:00:00"/>
    <x v="0"/>
    <x v="2"/>
    <x v="0"/>
    <n v="6176"/>
    <n v="5747"/>
    <s v="Bank"/>
    <s v="Accra"/>
    <s v="May"/>
    <n v="2026"/>
    <n v="429"/>
  </r>
  <r>
    <s v="TXN-0171"/>
    <d v="2026-04-28T00:00:00"/>
    <x v="2"/>
    <x v="5"/>
    <x v="1"/>
    <n v="16199"/>
    <n v="18623"/>
    <s v="Cash"/>
    <s v="Kumasi"/>
    <s v="Apr"/>
    <n v="2026"/>
    <n v="-2424"/>
  </r>
  <r>
    <s v="TXN-0172"/>
    <d v="2026-03-20T00:00:00"/>
    <x v="1"/>
    <x v="5"/>
    <x v="1"/>
    <n v="5728"/>
    <n v="6272"/>
    <s v="Mobile Money"/>
    <s v="Takoradi"/>
    <s v="Mar"/>
    <n v="2026"/>
    <n v="-544"/>
  </r>
  <r>
    <s v="TXN-0173"/>
    <d v="2026-04-17T00:00:00"/>
    <x v="0"/>
    <x v="7"/>
    <x v="0"/>
    <n v="4093"/>
    <n v="4304"/>
    <s v="Cash"/>
    <s v="Kumasi"/>
    <s v="Apr"/>
    <n v="2026"/>
    <n v="-211"/>
  </r>
  <r>
    <s v="TXN-0174"/>
    <d v="2026-06-17T00:00:00"/>
    <x v="3"/>
    <x v="6"/>
    <x v="0"/>
    <n v="6214"/>
    <n v="6615"/>
    <s v="Cash"/>
    <s v="Accra"/>
    <s v="Jun"/>
    <n v="2026"/>
    <n v="-401"/>
  </r>
  <r>
    <s v="TXN-0175"/>
    <d v="2026-04-25T00:00:00"/>
    <x v="2"/>
    <x v="6"/>
    <x v="0"/>
    <n v="321"/>
    <n v="311"/>
    <s v="Cash"/>
    <s v="Takoradi"/>
    <s v="Apr"/>
    <n v="2026"/>
    <n v="10"/>
  </r>
  <r>
    <s v="TXN-0176"/>
    <d v="2026-02-11T00:00:00"/>
    <x v="0"/>
    <x v="4"/>
    <x v="0"/>
    <n v="1280"/>
    <n v="1521"/>
    <s v="Bank"/>
    <s v="Takoradi"/>
    <s v="Feb"/>
    <n v="2026"/>
    <n v="-241"/>
  </r>
  <r>
    <s v="TXN-0177"/>
    <d v="2026-02-26T00:00:00"/>
    <x v="0"/>
    <x v="7"/>
    <x v="0"/>
    <n v="1245"/>
    <n v="1449"/>
    <s v="Mobile Money"/>
    <s v="Kumasi"/>
    <s v="Feb"/>
    <n v="2026"/>
    <n v="-204"/>
  </r>
  <r>
    <s v="TXN-0178"/>
    <d v="2026-01-23T00:00:00"/>
    <x v="1"/>
    <x v="1"/>
    <x v="1"/>
    <n v="8556"/>
    <n v="9371"/>
    <s v="Mobile Money"/>
    <s v="Kumasi"/>
    <s v="Jan"/>
    <n v="2026"/>
    <n v="-815"/>
  </r>
  <r>
    <s v="TXN-0179"/>
    <d v="2026-01-27T00:00:00"/>
    <x v="1"/>
    <x v="6"/>
    <x v="0"/>
    <n v="1841"/>
    <n v="2105"/>
    <s v="Cash"/>
    <s v="Kumasi"/>
    <s v="Jan"/>
    <n v="2026"/>
    <n v="-264"/>
  </r>
  <r>
    <s v="TXN-0180"/>
    <d v="2026-04-01T00:00:00"/>
    <x v="3"/>
    <x v="0"/>
    <x v="0"/>
    <n v="5112"/>
    <n v="5599"/>
    <s v="Mobile Money"/>
    <s v="Takoradi"/>
    <s v="Apr"/>
    <n v="2026"/>
    <n v="-4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A9FD4-FCA1-4946-8D5F-C38CCC784DC6}" name="PivotTable3" cacheId="2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rowPageCount="1" colPageCount="1"/>
  <pivotFields count="12">
    <pivotField compact="0" outline="0" showAll="0"/>
    <pivotField compact="0" numFmtId="14" outline="0" showAll="0"/>
    <pivotField compact="0" outline="0" showAll="0"/>
    <pivotField axis="axisRow" compact="0" outline="0" showAll="0" sortType="descending">
      <items count="9">
        <item x="5"/>
        <item x="4"/>
        <item x="0"/>
        <item x="3"/>
        <item x="1"/>
        <item x="7"/>
        <item x="6"/>
        <item x="2"/>
        <item t="default"/>
      </items>
      <autoSortScope>
        <pivotArea dataOnly="0" outline="0" fieldPosition="0">
          <references count="1">
            <reference field="4294967294" count="1" selected="0">
              <x v="0"/>
            </reference>
          </references>
        </pivotArea>
      </autoSortScope>
    </pivotField>
    <pivotField axis="axisPage" compact="0" outline="0" showAll="0">
      <items count="3">
        <item x="0"/>
        <item h="1"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v="2"/>
    </i>
    <i>
      <x v="5"/>
    </i>
    <i>
      <x v="1"/>
    </i>
    <i>
      <x v="3"/>
    </i>
    <i>
      <x v="6"/>
    </i>
    <i>
      <x v="7"/>
    </i>
    <i t="grand">
      <x/>
    </i>
  </rowItems>
  <colItems count="1">
    <i/>
  </colItems>
  <pageFields count="1">
    <pageField fld="4" item="0" hier="-1"/>
  </pageFields>
  <dataFields count="1">
    <dataField name="Sum of Actual_Amount_G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E29BF-FDA5-478D-8802-E4020FDDD102}" name="PivotTable2" cacheId="2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rowPageCount="1" colPageCount="1"/>
  <pivotFields count="12">
    <pivotField compact="0" outline="0" showAll="0"/>
    <pivotField compact="0" numFmtId="14" outline="0" showAll="0"/>
    <pivotField axis="axisRow" compact="0" outline="0"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compact="0" outline="0" showAll="0" sortType="descending">
      <items count="9">
        <item x="5"/>
        <item x="4"/>
        <item x="0"/>
        <item x="3"/>
        <item x="1"/>
        <item x="7"/>
        <item x="6"/>
        <item x="2"/>
        <item t="default"/>
      </items>
      <autoSortScope>
        <pivotArea dataOnly="0" outline="0" fieldPosition="0">
          <references count="1">
            <reference field="4294967294" count="1" selected="0">
              <x v="0"/>
            </reference>
          </references>
        </pivotArea>
      </autoSortScope>
    </pivotField>
    <pivotField axis="axisPage" compact="0" outline="0" showAll="0">
      <items count="3">
        <item x="0"/>
        <item h="1"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3"/>
    </i>
    <i>
      <x v="1"/>
    </i>
    <i>
      <x v="2"/>
    </i>
    <i>
      <x/>
    </i>
    <i t="grand">
      <x/>
    </i>
  </rowItems>
  <colItems count="1">
    <i/>
  </colItems>
  <pageFields count="1">
    <pageField fld="4" item="0" hier="-1"/>
  </pageFields>
  <dataFields count="1">
    <dataField name="Sum of Actual_Amount_G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63C317-AC4F-459F-A7FF-55E965EE0DE0}" name="PivotTable2" cacheId="2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0" firstHeaderRow="1" firstDataRow="1" firstDataCol="1" rowPageCount="1" colPageCount="1"/>
  <pivotFields count="12">
    <pivotField compact="0" outline="0" showAll="0"/>
    <pivotField compact="0" numFmtId="14" outline="0" showAll="0"/>
    <pivotField compact="0" outline="0" showAll="0"/>
    <pivotField axis="axisRow" compact="0" outline="0" showAll="0" sortType="descending">
      <items count="9">
        <item x="5"/>
        <item x="4"/>
        <item x="0"/>
        <item x="3"/>
        <item x="1"/>
        <item x="7"/>
        <item x="6"/>
        <item x="2"/>
        <item t="default"/>
      </items>
      <autoSortScope>
        <pivotArea dataOnly="0" outline="0" fieldPosition="0">
          <references count="1">
            <reference field="4294967294" count="1" selected="0">
              <x v="0"/>
            </reference>
          </references>
        </pivotArea>
      </autoSortScope>
    </pivotField>
    <pivotField axis="axisPage" compact="0" outline="0" showAll="0">
      <items count="3">
        <item x="0"/>
        <item h="1"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v="2"/>
    </i>
    <i>
      <x v="5"/>
    </i>
    <i>
      <x v="1"/>
    </i>
    <i>
      <x v="3"/>
    </i>
    <i>
      <x v="6"/>
    </i>
    <i>
      <x v="7"/>
    </i>
    <i t="grand">
      <x/>
    </i>
  </rowItems>
  <colItems count="1">
    <i/>
  </colItems>
  <pageFields count="1">
    <pageField fld="4" item="0" hier="-1"/>
  </pageFields>
  <dataFields count="1">
    <dataField name="Sum of Actual_Amount_GHS" fld="5"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1C0ED-D9D4-430C-B3AD-B46355FC014B}" name="PivotTable1" cacheId="2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rowPageCount="1" colPageCount="1"/>
  <pivotFields count="12">
    <pivotField compact="0" outline="0" showAll="0"/>
    <pivotField compact="0" numFmtId="14" outline="0" showAll="0"/>
    <pivotField axis="axisRow" compact="0" outline="0"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3">
        <item x="0"/>
        <item h="1"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3"/>
    </i>
    <i>
      <x v="1"/>
    </i>
    <i>
      <x v="2"/>
    </i>
    <i>
      <x/>
    </i>
    <i t="grand">
      <x/>
    </i>
  </rowItems>
  <colItems count="1">
    <i/>
  </colItems>
  <pageFields count="1">
    <pageField fld="4" item="0" hier="-1"/>
  </pageFields>
  <dataFields count="1">
    <dataField name="Sum of Actual_Amount_GH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C1F6-71D9-4231-B304-2B35D694FB83}">
  <dimension ref="A1:P181"/>
  <sheetViews>
    <sheetView workbookViewId="0">
      <selection activeCell="V10" sqref="V10"/>
    </sheetView>
  </sheetViews>
  <sheetFormatPr defaultRowHeight="15.75"/>
  <cols>
    <col min="1" max="1" width="15.5703125" style="3" bestFit="1" customWidth="1"/>
    <col min="2" max="2" width="10.42578125" style="3" bestFit="1" customWidth="1"/>
    <col min="3" max="3" width="15.140625" style="3" bestFit="1" customWidth="1"/>
    <col min="4" max="4" width="15.5703125" style="3" bestFit="1" customWidth="1"/>
    <col min="5" max="5" width="9.140625" style="3" bestFit="1" customWidth="1"/>
    <col min="6" max="6" width="21.85546875" style="3" bestFit="1" customWidth="1"/>
    <col min="7" max="7" width="22.42578125" style="3" bestFit="1" customWidth="1"/>
    <col min="8" max="8" width="17.5703125" style="3" bestFit="1" customWidth="1"/>
    <col min="9" max="9" width="9.42578125" style="3" bestFit="1" customWidth="1"/>
    <col min="10" max="10" width="7.28515625" style="3" bestFit="1" customWidth="1"/>
    <col min="11" max="11" width="5.7109375" style="3" bestFit="1" customWidth="1"/>
    <col min="12" max="12" width="9.140625" style="3"/>
    <col min="13" max="13" width="18.42578125" style="3" bestFit="1" customWidth="1"/>
    <col min="14" max="14" width="14.5703125" style="3" bestFit="1" customWidth="1"/>
    <col min="15" max="15" width="15.28515625" style="3" bestFit="1" customWidth="1"/>
    <col min="16" max="16384" width="9.140625" style="3"/>
  </cols>
  <sheetData>
    <row r="1" spans="1:16" s="7" customForma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spans="1:16" ht="15">
      <c r="A2" s="3" t="s">
        <v>16</v>
      </c>
      <c r="B2" s="4">
        <v>46091</v>
      </c>
      <c r="C2" s="3" t="s">
        <v>17</v>
      </c>
      <c r="D2" s="3" t="s">
        <v>18</v>
      </c>
      <c r="E2" s="3" t="s">
        <v>19</v>
      </c>
      <c r="F2" s="3">
        <v>5486</v>
      </c>
      <c r="G2" s="3">
        <v>5679</v>
      </c>
      <c r="H2" s="3" t="s">
        <v>20</v>
      </c>
      <c r="I2" s="3" t="s">
        <v>21</v>
      </c>
      <c r="J2" s="5" t="s">
        <v>22</v>
      </c>
      <c r="K2" s="1">
        <v>2026</v>
      </c>
      <c r="L2" s="3">
        <f>F2-G2</f>
        <v>-193</v>
      </c>
      <c r="M2" s="3">
        <f>COUNTA(A2:A181)</f>
        <v>180</v>
      </c>
      <c r="N2" s="3">
        <f>SUMIF(E2:E181,"Revenue",F2:F181)</f>
        <v>318721</v>
      </c>
      <c r="O2" s="3">
        <f>SUMIF(E2:E181,"Expense",F2:F181)</f>
        <v>456287</v>
      </c>
      <c r="P2" s="3">
        <f>N2-O2</f>
        <v>-137566</v>
      </c>
    </row>
    <row r="3" spans="1:16" ht="15">
      <c r="A3" s="3" t="s">
        <v>23</v>
      </c>
      <c r="B3" s="4">
        <v>46118</v>
      </c>
      <c r="C3" s="3" t="s">
        <v>24</v>
      </c>
      <c r="D3" s="3" t="s">
        <v>17</v>
      </c>
      <c r="E3" s="3" t="s">
        <v>25</v>
      </c>
      <c r="F3" s="3">
        <v>17011</v>
      </c>
      <c r="G3" s="3">
        <v>15857</v>
      </c>
      <c r="H3" s="3" t="s">
        <v>26</v>
      </c>
      <c r="I3" s="3" t="s">
        <v>27</v>
      </c>
      <c r="J3" s="5" t="s">
        <v>28</v>
      </c>
      <c r="K3" s="1">
        <v>2026</v>
      </c>
      <c r="L3" s="3">
        <f t="shared" ref="L3:L66" si="0">F3-G3</f>
        <v>1154</v>
      </c>
      <c r="M3" s="3">
        <f t="shared" ref="M3:M66" si="1">COUNTA(A3:A182)</f>
        <v>179</v>
      </c>
      <c r="N3" s="3">
        <f t="shared" ref="N3:N66" si="2">SUMIF(E3:E182,"Revenue",F3:F182)</f>
        <v>318721</v>
      </c>
      <c r="O3" s="3">
        <f t="shared" ref="O3:O66" si="3">SUMIF(E3:E182,"Expense",F3:F182)</f>
        <v>450801</v>
      </c>
      <c r="P3" s="3">
        <f t="shared" ref="P3:P66" si="4">N3-O3</f>
        <v>-132080</v>
      </c>
    </row>
    <row r="4" spans="1:16" ht="15">
      <c r="A4" s="3" t="s">
        <v>29</v>
      </c>
      <c r="B4" s="4">
        <v>46165</v>
      </c>
      <c r="C4" s="3" t="s">
        <v>30</v>
      </c>
      <c r="D4" s="3" t="s">
        <v>31</v>
      </c>
      <c r="E4" s="3" t="s">
        <v>19</v>
      </c>
      <c r="F4" s="3">
        <v>113</v>
      </c>
      <c r="G4" s="3">
        <v>122</v>
      </c>
      <c r="H4" s="3" t="s">
        <v>32</v>
      </c>
      <c r="I4" s="3" t="s">
        <v>21</v>
      </c>
      <c r="J4" s="5" t="s">
        <v>33</v>
      </c>
      <c r="K4" s="1">
        <v>2026</v>
      </c>
      <c r="L4" s="3">
        <f t="shared" si="0"/>
        <v>-9</v>
      </c>
      <c r="M4" s="3">
        <f t="shared" si="1"/>
        <v>178</v>
      </c>
      <c r="N4" s="3">
        <f t="shared" si="2"/>
        <v>301710</v>
      </c>
      <c r="O4" s="3">
        <f t="shared" si="3"/>
        <v>450801</v>
      </c>
      <c r="P4" s="3">
        <f t="shared" si="4"/>
        <v>-149091</v>
      </c>
    </row>
    <row r="5" spans="1:16" ht="15">
      <c r="A5" s="3" t="s">
        <v>34</v>
      </c>
      <c r="B5" s="4">
        <v>46109</v>
      </c>
      <c r="C5" s="3" t="s">
        <v>30</v>
      </c>
      <c r="D5" s="3" t="s">
        <v>35</v>
      </c>
      <c r="E5" s="3" t="s">
        <v>19</v>
      </c>
      <c r="F5" s="3">
        <v>1822</v>
      </c>
      <c r="G5" s="3">
        <v>1586</v>
      </c>
      <c r="H5" s="3" t="s">
        <v>20</v>
      </c>
      <c r="I5" s="3" t="s">
        <v>27</v>
      </c>
      <c r="J5" s="5" t="s">
        <v>22</v>
      </c>
      <c r="K5" s="1">
        <v>2026</v>
      </c>
      <c r="L5" s="3">
        <f t="shared" si="0"/>
        <v>236</v>
      </c>
      <c r="M5" s="3">
        <f t="shared" si="1"/>
        <v>177</v>
      </c>
      <c r="N5" s="3">
        <f t="shared" si="2"/>
        <v>301710</v>
      </c>
      <c r="O5" s="3">
        <f t="shared" si="3"/>
        <v>450688</v>
      </c>
      <c r="P5" s="3">
        <f t="shared" si="4"/>
        <v>-148978</v>
      </c>
    </row>
    <row r="6" spans="1:16" ht="15">
      <c r="A6" s="3" t="s">
        <v>36</v>
      </c>
      <c r="B6" s="4">
        <v>46197</v>
      </c>
      <c r="C6" s="3" t="s">
        <v>37</v>
      </c>
      <c r="D6" s="3" t="s">
        <v>38</v>
      </c>
      <c r="E6" s="3" t="s">
        <v>19</v>
      </c>
      <c r="F6" s="3">
        <v>3414</v>
      </c>
      <c r="G6" s="3">
        <v>3855</v>
      </c>
      <c r="H6" s="3" t="s">
        <v>20</v>
      </c>
      <c r="I6" s="3" t="s">
        <v>39</v>
      </c>
      <c r="J6" s="5" t="s">
        <v>40</v>
      </c>
      <c r="K6" s="1">
        <v>2026</v>
      </c>
      <c r="L6" s="3">
        <f t="shared" si="0"/>
        <v>-441</v>
      </c>
      <c r="M6" s="3">
        <f t="shared" si="1"/>
        <v>176</v>
      </c>
      <c r="N6" s="3">
        <f t="shared" si="2"/>
        <v>301710</v>
      </c>
      <c r="O6" s="3">
        <f t="shared" si="3"/>
        <v>448866</v>
      </c>
      <c r="P6" s="3">
        <f t="shared" si="4"/>
        <v>-147156</v>
      </c>
    </row>
    <row r="7" spans="1:16" ht="15">
      <c r="A7" s="3" t="s">
        <v>41</v>
      </c>
      <c r="B7" s="4">
        <v>46046</v>
      </c>
      <c r="C7" s="3" t="s">
        <v>37</v>
      </c>
      <c r="D7" s="3" t="s">
        <v>31</v>
      </c>
      <c r="E7" s="3" t="s">
        <v>19</v>
      </c>
      <c r="F7" s="3">
        <v>3571</v>
      </c>
      <c r="G7" s="3">
        <v>4218</v>
      </c>
      <c r="H7" s="3" t="s">
        <v>26</v>
      </c>
      <c r="I7" s="3" t="s">
        <v>21</v>
      </c>
      <c r="J7" s="5" t="s">
        <v>42</v>
      </c>
      <c r="K7" s="1">
        <v>2026</v>
      </c>
      <c r="L7" s="3">
        <f t="shared" si="0"/>
        <v>-647</v>
      </c>
      <c r="M7" s="3">
        <f t="shared" si="1"/>
        <v>175</v>
      </c>
      <c r="N7" s="3">
        <f t="shared" si="2"/>
        <v>301710</v>
      </c>
      <c r="O7" s="3">
        <f t="shared" si="3"/>
        <v>445452</v>
      </c>
      <c r="P7" s="3">
        <f t="shared" si="4"/>
        <v>-143742</v>
      </c>
    </row>
    <row r="8" spans="1:16" ht="15">
      <c r="A8" s="3" t="s">
        <v>43</v>
      </c>
      <c r="B8" s="4">
        <v>46161</v>
      </c>
      <c r="C8" s="3" t="s">
        <v>30</v>
      </c>
      <c r="D8" s="3" t="s">
        <v>35</v>
      </c>
      <c r="E8" s="3" t="s">
        <v>19</v>
      </c>
      <c r="F8" s="3">
        <v>2660</v>
      </c>
      <c r="G8" s="3">
        <v>3082</v>
      </c>
      <c r="H8" s="3" t="s">
        <v>26</v>
      </c>
      <c r="I8" s="3" t="s">
        <v>39</v>
      </c>
      <c r="J8" s="5" t="s">
        <v>33</v>
      </c>
      <c r="K8" s="1">
        <v>2026</v>
      </c>
      <c r="L8" s="3">
        <f t="shared" si="0"/>
        <v>-422</v>
      </c>
      <c r="M8" s="3">
        <f t="shared" si="1"/>
        <v>174</v>
      </c>
      <c r="N8" s="3">
        <f t="shared" si="2"/>
        <v>301710</v>
      </c>
      <c r="O8" s="3">
        <f t="shared" si="3"/>
        <v>441881</v>
      </c>
      <c r="P8" s="3">
        <f t="shared" si="4"/>
        <v>-140171</v>
      </c>
    </row>
    <row r="9" spans="1:16" ht="15">
      <c r="A9" s="3" t="s">
        <v>44</v>
      </c>
      <c r="B9" s="4">
        <v>46152</v>
      </c>
      <c r="C9" s="3" t="s">
        <v>24</v>
      </c>
      <c r="D9" s="3" t="s">
        <v>35</v>
      </c>
      <c r="E9" s="3" t="s">
        <v>19</v>
      </c>
      <c r="F9" s="3">
        <v>784</v>
      </c>
      <c r="G9" s="3">
        <v>776</v>
      </c>
      <c r="H9" s="3" t="s">
        <v>26</v>
      </c>
      <c r="I9" s="3" t="s">
        <v>27</v>
      </c>
      <c r="J9" s="5" t="s">
        <v>33</v>
      </c>
      <c r="K9" s="1">
        <v>2026</v>
      </c>
      <c r="L9" s="3">
        <f t="shared" si="0"/>
        <v>8</v>
      </c>
      <c r="M9" s="3">
        <f t="shared" si="1"/>
        <v>173</v>
      </c>
      <c r="N9" s="3">
        <f t="shared" si="2"/>
        <v>301710</v>
      </c>
      <c r="O9" s="3">
        <f t="shared" si="3"/>
        <v>439221</v>
      </c>
      <c r="P9" s="3">
        <f t="shared" si="4"/>
        <v>-137511</v>
      </c>
    </row>
    <row r="10" spans="1:16" ht="15">
      <c r="A10" s="3" t="s">
        <v>45</v>
      </c>
      <c r="B10" s="4">
        <v>46145</v>
      </c>
      <c r="C10" s="3" t="s">
        <v>37</v>
      </c>
      <c r="D10" s="3" t="s">
        <v>18</v>
      </c>
      <c r="E10" s="3" t="s">
        <v>19</v>
      </c>
      <c r="F10" s="3">
        <v>5091</v>
      </c>
      <c r="G10" s="3">
        <v>5012</v>
      </c>
      <c r="H10" s="3" t="s">
        <v>26</v>
      </c>
      <c r="I10" s="3" t="s">
        <v>27</v>
      </c>
      <c r="J10" s="5" t="s">
        <v>33</v>
      </c>
      <c r="K10" s="1">
        <v>2026</v>
      </c>
      <c r="L10" s="3">
        <f t="shared" si="0"/>
        <v>79</v>
      </c>
      <c r="M10" s="3">
        <f t="shared" si="1"/>
        <v>172</v>
      </c>
      <c r="N10" s="3">
        <f t="shared" si="2"/>
        <v>301710</v>
      </c>
      <c r="O10" s="3">
        <f t="shared" si="3"/>
        <v>438437</v>
      </c>
      <c r="P10" s="3">
        <f t="shared" si="4"/>
        <v>-136727</v>
      </c>
    </row>
    <row r="11" spans="1:16" ht="15">
      <c r="A11" s="3" t="s">
        <v>46</v>
      </c>
      <c r="B11" s="4">
        <v>46072</v>
      </c>
      <c r="C11" s="3" t="s">
        <v>17</v>
      </c>
      <c r="D11" s="3" t="s">
        <v>47</v>
      </c>
      <c r="E11" s="3" t="s">
        <v>25</v>
      </c>
      <c r="F11" s="3">
        <v>9770</v>
      </c>
      <c r="G11" s="3">
        <v>9348</v>
      </c>
      <c r="H11" s="3" t="s">
        <v>26</v>
      </c>
      <c r="I11" s="3" t="s">
        <v>21</v>
      </c>
      <c r="J11" s="5" t="s">
        <v>48</v>
      </c>
      <c r="K11" s="1">
        <v>2026</v>
      </c>
      <c r="L11" s="3">
        <f t="shared" si="0"/>
        <v>422</v>
      </c>
      <c r="M11" s="3">
        <f t="shared" si="1"/>
        <v>171</v>
      </c>
      <c r="N11" s="3">
        <f t="shared" si="2"/>
        <v>301710</v>
      </c>
      <c r="O11" s="3">
        <f t="shared" si="3"/>
        <v>433346</v>
      </c>
      <c r="P11" s="3">
        <f t="shared" si="4"/>
        <v>-131636</v>
      </c>
    </row>
    <row r="12" spans="1:16" ht="15">
      <c r="A12" s="3" t="s">
        <v>49</v>
      </c>
      <c r="B12" s="4">
        <v>46052</v>
      </c>
      <c r="C12" s="3" t="s">
        <v>17</v>
      </c>
      <c r="D12" s="3" t="s">
        <v>50</v>
      </c>
      <c r="E12" s="3" t="s">
        <v>19</v>
      </c>
      <c r="F12" s="3">
        <v>2167</v>
      </c>
      <c r="G12" s="3">
        <v>2020</v>
      </c>
      <c r="H12" s="3" t="s">
        <v>32</v>
      </c>
      <c r="I12" s="3" t="s">
        <v>27</v>
      </c>
      <c r="J12" s="5" t="s">
        <v>42</v>
      </c>
      <c r="K12" s="1">
        <v>2026</v>
      </c>
      <c r="L12" s="3">
        <f t="shared" si="0"/>
        <v>147</v>
      </c>
      <c r="M12" s="3">
        <f t="shared" si="1"/>
        <v>170</v>
      </c>
      <c r="N12" s="3">
        <f t="shared" si="2"/>
        <v>291940</v>
      </c>
      <c r="O12" s="3">
        <f t="shared" si="3"/>
        <v>433346</v>
      </c>
      <c r="P12" s="3">
        <f t="shared" si="4"/>
        <v>-141406</v>
      </c>
    </row>
    <row r="13" spans="1:16" ht="15">
      <c r="A13" s="3" t="s">
        <v>51</v>
      </c>
      <c r="B13" s="4">
        <v>46030</v>
      </c>
      <c r="C13" s="3" t="s">
        <v>24</v>
      </c>
      <c r="D13" s="3" t="s">
        <v>35</v>
      </c>
      <c r="E13" s="3" t="s">
        <v>19</v>
      </c>
      <c r="F13" s="3">
        <v>3220</v>
      </c>
      <c r="G13" s="3">
        <v>3664</v>
      </c>
      <c r="H13" s="3" t="s">
        <v>20</v>
      </c>
      <c r="I13" s="3" t="s">
        <v>27</v>
      </c>
      <c r="J13" s="5" t="s">
        <v>42</v>
      </c>
      <c r="K13" s="1">
        <v>2026</v>
      </c>
      <c r="L13" s="3">
        <f t="shared" si="0"/>
        <v>-444</v>
      </c>
      <c r="M13" s="3">
        <f t="shared" si="1"/>
        <v>169</v>
      </c>
      <c r="N13" s="3">
        <f t="shared" si="2"/>
        <v>291940</v>
      </c>
      <c r="O13" s="3">
        <f t="shared" si="3"/>
        <v>431179</v>
      </c>
      <c r="P13" s="3">
        <f t="shared" si="4"/>
        <v>-139239</v>
      </c>
    </row>
    <row r="14" spans="1:16" ht="15">
      <c r="A14" s="3" t="s">
        <v>52</v>
      </c>
      <c r="B14" s="4">
        <v>46079</v>
      </c>
      <c r="C14" s="3" t="s">
        <v>30</v>
      </c>
      <c r="D14" s="3" t="s">
        <v>17</v>
      </c>
      <c r="E14" s="3" t="s">
        <v>25</v>
      </c>
      <c r="F14" s="3">
        <v>15199</v>
      </c>
      <c r="G14" s="3">
        <v>13117</v>
      </c>
      <c r="H14" s="3" t="s">
        <v>26</v>
      </c>
      <c r="I14" s="3" t="s">
        <v>39</v>
      </c>
      <c r="J14" s="5" t="s">
        <v>48</v>
      </c>
      <c r="K14" s="1">
        <v>2026</v>
      </c>
      <c r="L14" s="3">
        <f t="shared" si="0"/>
        <v>2082</v>
      </c>
      <c r="M14" s="3">
        <f t="shared" si="1"/>
        <v>168</v>
      </c>
      <c r="N14" s="3">
        <f t="shared" si="2"/>
        <v>291940</v>
      </c>
      <c r="O14" s="3">
        <f t="shared" si="3"/>
        <v>427959</v>
      </c>
      <c r="P14" s="3">
        <f t="shared" si="4"/>
        <v>-136019</v>
      </c>
    </row>
    <row r="15" spans="1:16" ht="15">
      <c r="A15" s="3" t="s">
        <v>53</v>
      </c>
      <c r="B15" s="4">
        <v>46068</v>
      </c>
      <c r="C15" s="3" t="s">
        <v>37</v>
      </c>
      <c r="D15" s="3" t="s">
        <v>31</v>
      </c>
      <c r="E15" s="3" t="s">
        <v>19</v>
      </c>
      <c r="F15" s="3">
        <v>738</v>
      </c>
      <c r="G15" s="3">
        <v>807</v>
      </c>
      <c r="H15" s="3" t="s">
        <v>32</v>
      </c>
      <c r="I15" s="3" t="s">
        <v>21</v>
      </c>
      <c r="J15" s="5" t="s">
        <v>48</v>
      </c>
      <c r="K15" s="1">
        <v>2026</v>
      </c>
      <c r="L15" s="3">
        <f t="shared" si="0"/>
        <v>-69</v>
      </c>
      <c r="M15" s="3">
        <f t="shared" si="1"/>
        <v>167</v>
      </c>
      <c r="N15" s="3">
        <f t="shared" si="2"/>
        <v>276741</v>
      </c>
      <c r="O15" s="3">
        <f t="shared" si="3"/>
        <v>427959</v>
      </c>
      <c r="P15" s="3">
        <f t="shared" si="4"/>
        <v>-151218</v>
      </c>
    </row>
    <row r="16" spans="1:16" ht="15">
      <c r="A16" s="3" t="s">
        <v>54</v>
      </c>
      <c r="B16" s="4">
        <v>46111</v>
      </c>
      <c r="C16" s="3" t="s">
        <v>37</v>
      </c>
      <c r="D16" s="3" t="s">
        <v>18</v>
      </c>
      <c r="E16" s="3" t="s">
        <v>19</v>
      </c>
      <c r="F16" s="3">
        <v>5032</v>
      </c>
      <c r="G16" s="3">
        <v>5398</v>
      </c>
      <c r="H16" s="3" t="s">
        <v>26</v>
      </c>
      <c r="I16" s="3" t="s">
        <v>21</v>
      </c>
      <c r="J16" s="5" t="s">
        <v>22</v>
      </c>
      <c r="K16" s="1">
        <v>2026</v>
      </c>
      <c r="L16" s="3">
        <f t="shared" si="0"/>
        <v>-366</v>
      </c>
      <c r="M16" s="3">
        <f t="shared" si="1"/>
        <v>166</v>
      </c>
      <c r="N16" s="3">
        <f t="shared" si="2"/>
        <v>276741</v>
      </c>
      <c r="O16" s="3">
        <f t="shared" si="3"/>
        <v>427221</v>
      </c>
      <c r="P16" s="3">
        <f t="shared" si="4"/>
        <v>-150480</v>
      </c>
    </row>
    <row r="17" spans="1:16" ht="15">
      <c r="A17" s="3" t="s">
        <v>55</v>
      </c>
      <c r="B17" s="4">
        <v>46076</v>
      </c>
      <c r="C17" s="3" t="s">
        <v>24</v>
      </c>
      <c r="D17" s="3" t="s">
        <v>38</v>
      </c>
      <c r="E17" s="3" t="s">
        <v>19</v>
      </c>
      <c r="F17" s="3">
        <v>2882</v>
      </c>
      <c r="G17" s="3">
        <v>2734</v>
      </c>
      <c r="H17" s="3" t="s">
        <v>26</v>
      </c>
      <c r="I17" s="3" t="s">
        <v>21</v>
      </c>
      <c r="J17" s="5" t="s">
        <v>48</v>
      </c>
      <c r="K17" s="1">
        <v>2026</v>
      </c>
      <c r="L17" s="3">
        <f t="shared" si="0"/>
        <v>148</v>
      </c>
      <c r="M17" s="3">
        <f t="shared" si="1"/>
        <v>165</v>
      </c>
      <c r="N17" s="3">
        <f t="shared" si="2"/>
        <v>276741</v>
      </c>
      <c r="O17" s="3">
        <f t="shared" si="3"/>
        <v>422189</v>
      </c>
      <c r="P17" s="3">
        <f t="shared" si="4"/>
        <v>-145448</v>
      </c>
    </row>
    <row r="18" spans="1:16" ht="15">
      <c r="A18" s="3" t="s">
        <v>56</v>
      </c>
      <c r="B18" s="4">
        <v>46065</v>
      </c>
      <c r="C18" s="3" t="s">
        <v>17</v>
      </c>
      <c r="D18" s="3" t="s">
        <v>31</v>
      </c>
      <c r="E18" s="3" t="s">
        <v>19</v>
      </c>
      <c r="F18" s="3">
        <v>3907</v>
      </c>
      <c r="G18" s="3">
        <v>4584</v>
      </c>
      <c r="H18" s="3" t="s">
        <v>20</v>
      </c>
      <c r="I18" s="3" t="s">
        <v>39</v>
      </c>
      <c r="J18" s="5" t="s">
        <v>48</v>
      </c>
      <c r="K18" s="1">
        <v>2026</v>
      </c>
      <c r="L18" s="3">
        <f t="shared" si="0"/>
        <v>-677</v>
      </c>
      <c r="M18" s="3">
        <f t="shared" si="1"/>
        <v>164</v>
      </c>
      <c r="N18" s="3">
        <f t="shared" si="2"/>
        <v>276741</v>
      </c>
      <c r="O18" s="3">
        <f t="shared" si="3"/>
        <v>419307</v>
      </c>
      <c r="P18" s="3">
        <f t="shared" si="4"/>
        <v>-142566</v>
      </c>
    </row>
    <row r="19" spans="1:16" ht="15">
      <c r="A19" s="3" t="s">
        <v>57</v>
      </c>
      <c r="B19" s="4">
        <v>46178</v>
      </c>
      <c r="C19" s="3" t="s">
        <v>17</v>
      </c>
      <c r="D19" s="3" t="s">
        <v>31</v>
      </c>
      <c r="E19" s="3" t="s">
        <v>19</v>
      </c>
      <c r="F19" s="3">
        <v>154</v>
      </c>
      <c r="G19" s="3">
        <v>181</v>
      </c>
      <c r="H19" s="3" t="s">
        <v>20</v>
      </c>
      <c r="I19" s="3" t="s">
        <v>39</v>
      </c>
      <c r="J19" s="5" t="s">
        <v>40</v>
      </c>
      <c r="K19" s="1">
        <v>2026</v>
      </c>
      <c r="L19" s="3">
        <f t="shared" si="0"/>
        <v>-27</v>
      </c>
      <c r="M19" s="3">
        <f t="shared" si="1"/>
        <v>163</v>
      </c>
      <c r="N19" s="3">
        <f t="shared" si="2"/>
        <v>276741</v>
      </c>
      <c r="O19" s="3">
        <f t="shared" si="3"/>
        <v>415400</v>
      </c>
      <c r="P19" s="3">
        <f t="shared" si="4"/>
        <v>-138659</v>
      </c>
    </row>
    <row r="20" spans="1:16" ht="15">
      <c r="A20" s="3" t="s">
        <v>58</v>
      </c>
      <c r="B20" s="4">
        <v>46151</v>
      </c>
      <c r="C20" s="3" t="s">
        <v>37</v>
      </c>
      <c r="D20" s="3" t="s">
        <v>17</v>
      </c>
      <c r="E20" s="3" t="s">
        <v>25</v>
      </c>
      <c r="F20" s="3">
        <v>2511</v>
      </c>
      <c r="G20" s="3">
        <v>2320</v>
      </c>
      <c r="H20" s="3" t="s">
        <v>32</v>
      </c>
      <c r="I20" s="3" t="s">
        <v>27</v>
      </c>
      <c r="J20" s="5" t="s">
        <v>33</v>
      </c>
      <c r="K20" s="1">
        <v>2026</v>
      </c>
      <c r="L20" s="3">
        <f t="shared" si="0"/>
        <v>191</v>
      </c>
      <c r="M20" s="3">
        <f t="shared" si="1"/>
        <v>162</v>
      </c>
      <c r="N20" s="3">
        <f t="shared" si="2"/>
        <v>276741</v>
      </c>
      <c r="O20" s="3">
        <f t="shared" si="3"/>
        <v>415246</v>
      </c>
      <c r="P20" s="3">
        <f t="shared" si="4"/>
        <v>-138505</v>
      </c>
    </row>
    <row r="21" spans="1:16">
      <c r="A21" s="3" t="s">
        <v>59</v>
      </c>
      <c r="B21" s="4">
        <v>46029</v>
      </c>
      <c r="C21" s="3" t="s">
        <v>17</v>
      </c>
      <c r="D21" s="3" t="s">
        <v>35</v>
      </c>
      <c r="E21" s="3" t="s">
        <v>19</v>
      </c>
      <c r="F21" s="3">
        <v>2741</v>
      </c>
      <c r="G21" s="3">
        <v>3175</v>
      </c>
      <c r="H21" s="3" t="s">
        <v>26</v>
      </c>
      <c r="I21" s="3" t="s">
        <v>39</v>
      </c>
      <c r="J21" s="6" t="s">
        <v>42</v>
      </c>
      <c r="K21" s="2">
        <v>2026</v>
      </c>
      <c r="L21" s="3">
        <f t="shared" si="0"/>
        <v>-434</v>
      </c>
      <c r="M21" s="3">
        <f t="shared" si="1"/>
        <v>161</v>
      </c>
      <c r="N21" s="3">
        <f t="shared" si="2"/>
        <v>274230</v>
      </c>
      <c r="O21" s="3">
        <f t="shared" si="3"/>
        <v>415246</v>
      </c>
      <c r="P21" s="3">
        <f t="shared" si="4"/>
        <v>-141016</v>
      </c>
    </row>
    <row r="22" spans="1:16">
      <c r="A22" s="3" t="s">
        <v>60</v>
      </c>
      <c r="B22" s="4">
        <v>46157</v>
      </c>
      <c r="C22" s="3" t="s">
        <v>17</v>
      </c>
      <c r="D22" s="3" t="s">
        <v>31</v>
      </c>
      <c r="E22" s="3" t="s">
        <v>19</v>
      </c>
      <c r="F22" s="3">
        <v>4214</v>
      </c>
      <c r="G22" s="3">
        <v>4286</v>
      </c>
      <c r="H22" s="3" t="s">
        <v>32</v>
      </c>
      <c r="I22" s="3" t="s">
        <v>27</v>
      </c>
      <c r="J22" s="6" t="s">
        <v>33</v>
      </c>
      <c r="K22" s="2">
        <v>2026</v>
      </c>
      <c r="L22" s="3">
        <f t="shared" si="0"/>
        <v>-72</v>
      </c>
      <c r="M22" s="3">
        <f t="shared" si="1"/>
        <v>160</v>
      </c>
      <c r="N22" s="3">
        <f t="shared" si="2"/>
        <v>274230</v>
      </c>
      <c r="O22" s="3">
        <f t="shared" si="3"/>
        <v>412505</v>
      </c>
      <c r="P22" s="3">
        <f t="shared" si="4"/>
        <v>-138275</v>
      </c>
    </row>
    <row r="23" spans="1:16">
      <c r="A23" s="3" t="s">
        <v>61</v>
      </c>
      <c r="B23" s="4">
        <v>46064</v>
      </c>
      <c r="C23" s="3" t="s">
        <v>37</v>
      </c>
      <c r="D23" s="3" t="s">
        <v>18</v>
      </c>
      <c r="E23" s="3" t="s">
        <v>19</v>
      </c>
      <c r="F23" s="3">
        <v>3776</v>
      </c>
      <c r="G23" s="3">
        <v>3594</v>
      </c>
      <c r="H23" s="3" t="s">
        <v>32</v>
      </c>
      <c r="I23" s="3" t="s">
        <v>21</v>
      </c>
      <c r="J23" s="6" t="s">
        <v>48</v>
      </c>
      <c r="K23" s="2">
        <v>2026</v>
      </c>
      <c r="L23" s="3">
        <f t="shared" si="0"/>
        <v>182</v>
      </c>
      <c r="M23" s="3">
        <f t="shared" si="1"/>
        <v>159</v>
      </c>
      <c r="N23" s="3">
        <f t="shared" si="2"/>
        <v>274230</v>
      </c>
      <c r="O23" s="3">
        <f t="shared" si="3"/>
        <v>408291</v>
      </c>
      <c r="P23" s="3">
        <f t="shared" si="4"/>
        <v>-134061</v>
      </c>
    </row>
    <row r="24" spans="1:16">
      <c r="A24" s="3" t="s">
        <v>62</v>
      </c>
      <c r="B24" s="4">
        <v>46077</v>
      </c>
      <c r="C24" s="3" t="s">
        <v>17</v>
      </c>
      <c r="D24" s="3" t="s">
        <v>18</v>
      </c>
      <c r="E24" s="3" t="s">
        <v>19</v>
      </c>
      <c r="F24" s="3">
        <v>6112</v>
      </c>
      <c r="G24" s="3">
        <v>5804</v>
      </c>
      <c r="H24" s="3" t="s">
        <v>20</v>
      </c>
      <c r="I24" s="3" t="s">
        <v>27</v>
      </c>
      <c r="J24" s="6" t="s">
        <v>48</v>
      </c>
      <c r="K24" s="2">
        <v>2026</v>
      </c>
      <c r="L24" s="3">
        <f t="shared" si="0"/>
        <v>308</v>
      </c>
      <c r="M24" s="3">
        <f t="shared" si="1"/>
        <v>158</v>
      </c>
      <c r="N24" s="3">
        <f t="shared" si="2"/>
        <v>274230</v>
      </c>
      <c r="O24" s="3">
        <f t="shared" si="3"/>
        <v>404515</v>
      </c>
      <c r="P24" s="3">
        <f t="shared" si="4"/>
        <v>-130285</v>
      </c>
    </row>
    <row r="25" spans="1:16">
      <c r="A25" s="3" t="s">
        <v>63</v>
      </c>
      <c r="B25" s="4">
        <v>46200</v>
      </c>
      <c r="C25" s="3" t="s">
        <v>17</v>
      </c>
      <c r="D25" s="3" t="s">
        <v>17</v>
      </c>
      <c r="E25" s="3" t="s">
        <v>25</v>
      </c>
      <c r="F25" s="3">
        <v>2093</v>
      </c>
      <c r="G25" s="3">
        <v>1861</v>
      </c>
      <c r="H25" s="3" t="s">
        <v>32</v>
      </c>
      <c r="I25" s="3" t="s">
        <v>39</v>
      </c>
      <c r="J25" s="6" t="s">
        <v>40</v>
      </c>
      <c r="K25" s="2">
        <v>2026</v>
      </c>
      <c r="L25" s="3">
        <f t="shared" si="0"/>
        <v>232</v>
      </c>
      <c r="M25" s="3">
        <f t="shared" si="1"/>
        <v>157</v>
      </c>
      <c r="N25" s="3">
        <f t="shared" si="2"/>
        <v>274230</v>
      </c>
      <c r="O25" s="3">
        <f t="shared" si="3"/>
        <v>398403</v>
      </c>
      <c r="P25" s="3">
        <f t="shared" si="4"/>
        <v>-124173</v>
      </c>
    </row>
    <row r="26" spans="1:16">
      <c r="A26" s="3" t="s">
        <v>64</v>
      </c>
      <c r="B26" s="4">
        <v>46074</v>
      </c>
      <c r="C26" s="3" t="s">
        <v>37</v>
      </c>
      <c r="D26" s="3" t="s">
        <v>31</v>
      </c>
      <c r="E26" s="3" t="s">
        <v>19</v>
      </c>
      <c r="F26" s="3">
        <v>3665</v>
      </c>
      <c r="G26" s="3">
        <v>3720</v>
      </c>
      <c r="H26" s="3" t="s">
        <v>26</v>
      </c>
      <c r="I26" s="3" t="s">
        <v>27</v>
      </c>
      <c r="J26" s="6" t="s">
        <v>48</v>
      </c>
      <c r="K26" s="2">
        <v>2026</v>
      </c>
      <c r="L26" s="3">
        <f t="shared" si="0"/>
        <v>-55</v>
      </c>
      <c r="M26" s="3">
        <f t="shared" si="1"/>
        <v>156</v>
      </c>
      <c r="N26" s="3">
        <f t="shared" si="2"/>
        <v>272137</v>
      </c>
      <c r="O26" s="3">
        <f t="shared" si="3"/>
        <v>398403</v>
      </c>
      <c r="P26" s="3">
        <f t="shared" si="4"/>
        <v>-126266</v>
      </c>
    </row>
    <row r="27" spans="1:16">
      <c r="A27" s="3" t="s">
        <v>65</v>
      </c>
      <c r="B27" s="4">
        <v>46033</v>
      </c>
      <c r="C27" s="3" t="s">
        <v>37</v>
      </c>
      <c r="D27" s="3" t="s">
        <v>50</v>
      </c>
      <c r="E27" s="3" t="s">
        <v>19</v>
      </c>
      <c r="F27" s="3">
        <v>3521</v>
      </c>
      <c r="G27" s="3">
        <v>3524</v>
      </c>
      <c r="H27" s="3" t="s">
        <v>32</v>
      </c>
      <c r="I27" s="3" t="s">
        <v>39</v>
      </c>
      <c r="J27" s="6" t="s">
        <v>42</v>
      </c>
      <c r="K27" s="2">
        <v>2026</v>
      </c>
      <c r="L27" s="3">
        <f t="shared" si="0"/>
        <v>-3</v>
      </c>
      <c r="M27" s="3">
        <f t="shared" si="1"/>
        <v>155</v>
      </c>
      <c r="N27" s="3">
        <f t="shared" si="2"/>
        <v>272137</v>
      </c>
      <c r="O27" s="3">
        <f t="shared" si="3"/>
        <v>394738</v>
      </c>
      <c r="P27" s="3">
        <f t="shared" si="4"/>
        <v>-122601</v>
      </c>
    </row>
    <row r="28" spans="1:16">
      <c r="A28" s="3" t="s">
        <v>66</v>
      </c>
      <c r="B28" s="4">
        <v>46117</v>
      </c>
      <c r="C28" s="3" t="s">
        <v>30</v>
      </c>
      <c r="D28" s="3" t="s">
        <v>38</v>
      </c>
      <c r="E28" s="3" t="s">
        <v>19</v>
      </c>
      <c r="F28" s="3">
        <v>5327</v>
      </c>
      <c r="G28" s="3">
        <v>5899</v>
      </c>
      <c r="H28" s="3" t="s">
        <v>20</v>
      </c>
      <c r="I28" s="3" t="s">
        <v>27</v>
      </c>
      <c r="J28" s="6" t="s">
        <v>28</v>
      </c>
      <c r="K28" s="2">
        <v>2026</v>
      </c>
      <c r="L28" s="3">
        <f t="shared" si="0"/>
        <v>-572</v>
      </c>
      <c r="M28" s="3">
        <f t="shared" si="1"/>
        <v>154</v>
      </c>
      <c r="N28" s="3">
        <f t="shared" si="2"/>
        <v>272137</v>
      </c>
      <c r="O28" s="3">
        <f t="shared" si="3"/>
        <v>391217</v>
      </c>
      <c r="P28" s="3">
        <f t="shared" si="4"/>
        <v>-119080</v>
      </c>
    </row>
    <row r="29" spans="1:16">
      <c r="A29" s="3" t="s">
        <v>67</v>
      </c>
      <c r="B29" s="4">
        <v>46030</v>
      </c>
      <c r="C29" s="3" t="s">
        <v>24</v>
      </c>
      <c r="D29" s="3" t="s">
        <v>35</v>
      </c>
      <c r="E29" s="3" t="s">
        <v>19</v>
      </c>
      <c r="F29" s="3">
        <v>410</v>
      </c>
      <c r="G29" s="3">
        <v>477</v>
      </c>
      <c r="H29" s="3" t="s">
        <v>26</v>
      </c>
      <c r="I29" s="3" t="s">
        <v>39</v>
      </c>
      <c r="J29" s="6" t="s">
        <v>42</v>
      </c>
      <c r="K29" s="2">
        <v>2026</v>
      </c>
      <c r="L29" s="3">
        <f t="shared" si="0"/>
        <v>-67</v>
      </c>
      <c r="M29" s="3">
        <f t="shared" si="1"/>
        <v>153</v>
      </c>
      <c r="N29" s="3">
        <f t="shared" si="2"/>
        <v>272137</v>
      </c>
      <c r="O29" s="3">
        <f t="shared" si="3"/>
        <v>385890</v>
      </c>
      <c r="P29" s="3">
        <f t="shared" si="4"/>
        <v>-113753</v>
      </c>
    </row>
    <row r="30" spans="1:16">
      <c r="A30" s="3" t="s">
        <v>68</v>
      </c>
      <c r="B30" s="4">
        <v>46048</v>
      </c>
      <c r="C30" s="3" t="s">
        <v>17</v>
      </c>
      <c r="D30" s="3" t="s">
        <v>69</v>
      </c>
      <c r="E30" s="3" t="s">
        <v>19</v>
      </c>
      <c r="F30" s="3">
        <v>5918</v>
      </c>
      <c r="G30" s="3">
        <v>5761</v>
      </c>
      <c r="H30" s="3" t="s">
        <v>32</v>
      </c>
      <c r="I30" s="3" t="s">
        <v>27</v>
      </c>
      <c r="J30" s="6" t="s">
        <v>42</v>
      </c>
      <c r="K30" s="2">
        <v>2026</v>
      </c>
      <c r="L30" s="3">
        <f t="shared" si="0"/>
        <v>157</v>
      </c>
      <c r="M30" s="3">
        <f t="shared" si="1"/>
        <v>152</v>
      </c>
      <c r="N30" s="3">
        <f t="shared" si="2"/>
        <v>272137</v>
      </c>
      <c r="O30" s="3">
        <f t="shared" si="3"/>
        <v>385480</v>
      </c>
      <c r="P30" s="3">
        <f t="shared" si="4"/>
        <v>-113343</v>
      </c>
    </row>
    <row r="31" spans="1:16">
      <c r="A31" s="3" t="s">
        <v>70</v>
      </c>
      <c r="B31" s="4">
        <v>46182</v>
      </c>
      <c r="C31" s="3" t="s">
        <v>24</v>
      </c>
      <c r="D31" s="3" t="s">
        <v>18</v>
      </c>
      <c r="E31" s="3" t="s">
        <v>19</v>
      </c>
      <c r="F31" s="3">
        <v>5106</v>
      </c>
      <c r="G31" s="3">
        <v>4562</v>
      </c>
      <c r="H31" s="3" t="s">
        <v>26</v>
      </c>
      <c r="I31" s="3" t="s">
        <v>39</v>
      </c>
      <c r="J31" s="6" t="s">
        <v>40</v>
      </c>
      <c r="K31" s="2">
        <v>2026</v>
      </c>
      <c r="L31" s="3">
        <f t="shared" si="0"/>
        <v>544</v>
      </c>
      <c r="M31" s="3">
        <f t="shared" si="1"/>
        <v>151</v>
      </c>
      <c r="N31" s="3">
        <f t="shared" si="2"/>
        <v>272137</v>
      </c>
      <c r="O31" s="3">
        <f t="shared" si="3"/>
        <v>379562</v>
      </c>
      <c r="P31" s="3">
        <f t="shared" si="4"/>
        <v>-107425</v>
      </c>
    </row>
    <row r="32" spans="1:16">
      <c r="A32" s="3" t="s">
        <v>71</v>
      </c>
      <c r="B32" s="4">
        <v>46127</v>
      </c>
      <c r="C32" s="3" t="s">
        <v>17</v>
      </c>
      <c r="D32" s="3" t="s">
        <v>47</v>
      </c>
      <c r="E32" s="3" t="s">
        <v>25</v>
      </c>
      <c r="F32" s="3">
        <v>12857</v>
      </c>
      <c r="G32" s="3">
        <v>12176</v>
      </c>
      <c r="H32" s="3" t="s">
        <v>20</v>
      </c>
      <c r="I32" s="3" t="s">
        <v>27</v>
      </c>
      <c r="J32" s="6" t="s">
        <v>28</v>
      </c>
      <c r="K32" s="2">
        <v>2026</v>
      </c>
      <c r="L32" s="3">
        <f t="shared" si="0"/>
        <v>681</v>
      </c>
      <c r="M32" s="3">
        <f t="shared" si="1"/>
        <v>150</v>
      </c>
      <c r="N32" s="3">
        <f t="shared" si="2"/>
        <v>272137</v>
      </c>
      <c r="O32" s="3">
        <f t="shared" si="3"/>
        <v>374456</v>
      </c>
      <c r="P32" s="3">
        <f t="shared" si="4"/>
        <v>-102319</v>
      </c>
    </row>
    <row r="33" spans="1:16">
      <c r="A33" s="3" t="s">
        <v>72</v>
      </c>
      <c r="B33" s="4">
        <v>46102</v>
      </c>
      <c r="C33" s="3" t="s">
        <v>24</v>
      </c>
      <c r="D33" s="3" t="s">
        <v>47</v>
      </c>
      <c r="E33" s="3" t="s">
        <v>25</v>
      </c>
      <c r="F33" s="3">
        <v>11377</v>
      </c>
      <c r="G33" s="3">
        <v>12045</v>
      </c>
      <c r="H33" s="3" t="s">
        <v>32</v>
      </c>
      <c r="I33" s="3" t="s">
        <v>39</v>
      </c>
      <c r="J33" s="6" t="s">
        <v>22</v>
      </c>
      <c r="K33" s="2">
        <v>2026</v>
      </c>
      <c r="L33" s="3">
        <f t="shared" si="0"/>
        <v>-668</v>
      </c>
      <c r="M33" s="3">
        <f t="shared" si="1"/>
        <v>149</v>
      </c>
      <c r="N33" s="3">
        <f t="shared" si="2"/>
        <v>259280</v>
      </c>
      <c r="O33" s="3">
        <f t="shared" si="3"/>
        <v>374456</v>
      </c>
      <c r="P33" s="3">
        <f t="shared" si="4"/>
        <v>-115176</v>
      </c>
    </row>
    <row r="34" spans="1:16">
      <c r="A34" s="3" t="s">
        <v>73</v>
      </c>
      <c r="B34" s="4">
        <v>46076</v>
      </c>
      <c r="C34" s="3" t="s">
        <v>24</v>
      </c>
      <c r="D34" s="3" t="s">
        <v>17</v>
      </c>
      <c r="E34" s="3" t="s">
        <v>25</v>
      </c>
      <c r="F34" s="3">
        <v>17184</v>
      </c>
      <c r="G34" s="3">
        <v>17818</v>
      </c>
      <c r="H34" s="3" t="s">
        <v>20</v>
      </c>
      <c r="I34" s="3" t="s">
        <v>39</v>
      </c>
      <c r="J34" s="6" t="s">
        <v>48</v>
      </c>
      <c r="K34" s="2">
        <v>2026</v>
      </c>
      <c r="L34" s="3">
        <f t="shared" si="0"/>
        <v>-634</v>
      </c>
      <c r="M34" s="3">
        <f t="shared" si="1"/>
        <v>148</v>
      </c>
      <c r="N34" s="3">
        <f t="shared" si="2"/>
        <v>247903</v>
      </c>
      <c r="O34" s="3">
        <f t="shared" si="3"/>
        <v>374456</v>
      </c>
      <c r="P34" s="3">
        <f t="shared" si="4"/>
        <v>-126553</v>
      </c>
    </row>
    <row r="35" spans="1:16">
      <c r="A35" s="3" t="s">
        <v>74</v>
      </c>
      <c r="B35" s="4">
        <v>46139</v>
      </c>
      <c r="C35" s="3" t="s">
        <v>37</v>
      </c>
      <c r="D35" s="3" t="s">
        <v>38</v>
      </c>
      <c r="E35" s="3" t="s">
        <v>19</v>
      </c>
      <c r="F35" s="3">
        <v>2052</v>
      </c>
      <c r="G35" s="3">
        <v>2379</v>
      </c>
      <c r="H35" s="3" t="s">
        <v>20</v>
      </c>
      <c r="I35" s="3" t="s">
        <v>39</v>
      </c>
      <c r="J35" s="6" t="s">
        <v>28</v>
      </c>
      <c r="K35" s="2">
        <v>2026</v>
      </c>
      <c r="L35" s="3">
        <f t="shared" si="0"/>
        <v>-327</v>
      </c>
      <c r="M35" s="3">
        <f t="shared" si="1"/>
        <v>147</v>
      </c>
      <c r="N35" s="3">
        <f t="shared" si="2"/>
        <v>230719</v>
      </c>
      <c r="O35" s="3">
        <f t="shared" si="3"/>
        <v>374456</v>
      </c>
      <c r="P35" s="3">
        <f t="shared" si="4"/>
        <v>-143737</v>
      </c>
    </row>
    <row r="36" spans="1:16">
      <c r="A36" s="3" t="s">
        <v>75</v>
      </c>
      <c r="B36" s="4">
        <v>46116</v>
      </c>
      <c r="C36" s="3" t="s">
        <v>24</v>
      </c>
      <c r="D36" s="3" t="s">
        <v>38</v>
      </c>
      <c r="E36" s="3" t="s">
        <v>19</v>
      </c>
      <c r="F36" s="3">
        <v>2391</v>
      </c>
      <c r="G36" s="3">
        <v>2742</v>
      </c>
      <c r="H36" s="3" t="s">
        <v>32</v>
      </c>
      <c r="I36" s="3" t="s">
        <v>39</v>
      </c>
      <c r="J36" s="6" t="s">
        <v>28</v>
      </c>
      <c r="K36" s="2">
        <v>2026</v>
      </c>
      <c r="L36" s="3">
        <f t="shared" si="0"/>
        <v>-351</v>
      </c>
      <c r="M36" s="3">
        <f t="shared" si="1"/>
        <v>146</v>
      </c>
      <c r="N36" s="3">
        <f t="shared" si="2"/>
        <v>230719</v>
      </c>
      <c r="O36" s="3">
        <f t="shared" si="3"/>
        <v>372404</v>
      </c>
      <c r="P36" s="3">
        <f t="shared" si="4"/>
        <v>-141685</v>
      </c>
    </row>
    <row r="37" spans="1:16">
      <c r="A37" s="3" t="s">
        <v>76</v>
      </c>
      <c r="B37" s="4">
        <v>46151</v>
      </c>
      <c r="C37" s="3" t="s">
        <v>24</v>
      </c>
      <c r="D37" s="3" t="s">
        <v>35</v>
      </c>
      <c r="E37" s="3" t="s">
        <v>19</v>
      </c>
      <c r="F37" s="3">
        <v>5818</v>
      </c>
      <c r="G37" s="3">
        <v>5622</v>
      </c>
      <c r="H37" s="3" t="s">
        <v>32</v>
      </c>
      <c r="I37" s="3" t="s">
        <v>27</v>
      </c>
      <c r="J37" s="6" t="s">
        <v>33</v>
      </c>
      <c r="K37" s="2">
        <v>2026</v>
      </c>
      <c r="L37" s="3">
        <f t="shared" si="0"/>
        <v>196</v>
      </c>
      <c r="M37" s="3">
        <f t="shared" si="1"/>
        <v>145</v>
      </c>
      <c r="N37" s="3">
        <f t="shared" si="2"/>
        <v>230719</v>
      </c>
      <c r="O37" s="3">
        <f t="shared" si="3"/>
        <v>370013</v>
      </c>
      <c r="P37" s="3">
        <f t="shared" si="4"/>
        <v>-139294</v>
      </c>
    </row>
    <row r="38" spans="1:16">
      <c r="A38" s="3" t="s">
        <v>77</v>
      </c>
      <c r="B38" s="4">
        <v>46140</v>
      </c>
      <c r="C38" s="3" t="s">
        <v>37</v>
      </c>
      <c r="D38" s="3" t="s">
        <v>31</v>
      </c>
      <c r="E38" s="3" t="s">
        <v>19</v>
      </c>
      <c r="F38" s="3">
        <v>3865</v>
      </c>
      <c r="G38" s="3">
        <v>4347</v>
      </c>
      <c r="H38" s="3" t="s">
        <v>20</v>
      </c>
      <c r="I38" s="3" t="s">
        <v>21</v>
      </c>
      <c r="J38" s="6" t="s">
        <v>28</v>
      </c>
      <c r="K38" s="2">
        <v>2026</v>
      </c>
      <c r="L38" s="3">
        <f t="shared" si="0"/>
        <v>-482</v>
      </c>
      <c r="M38" s="3">
        <f t="shared" si="1"/>
        <v>144</v>
      </c>
      <c r="N38" s="3">
        <f t="shared" si="2"/>
        <v>230719</v>
      </c>
      <c r="O38" s="3">
        <f t="shared" si="3"/>
        <v>364195</v>
      </c>
      <c r="P38" s="3">
        <f t="shared" si="4"/>
        <v>-133476</v>
      </c>
    </row>
    <row r="39" spans="1:16">
      <c r="A39" s="3" t="s">
        <v>78</v>
      </c>
      <c r="B39" s="4">
        <v>46156</v>
      </c>
      <c r="C39" s="3" t="s">
        <v>37</v>
      </c>
      <c r="D39" s="3" t="s">
        <v>69</v>
      </c>
      <c r="E39" s="3" t="s">
        <v>19</v>
      </c>
      <c r="F39" s="3">
        <v>5616</v>
      </c>
      <c r="G39" s="3">
        <v>5638</v>
      </c>
      <c r="H39" s="3" t="s">
        <v>20</v>
      </c>
      <c r="I39" s="3" t="s">
        <v>27</v>
      </c>
      <c r="J39" s="6" t="s">
        <v>33</v>
      </c>
      <c r="K39" s="2">
        <v>2026</v>
      </c>
      <c r="L39" s="3">
        <f t="shared" si="0"/>
        <v>-22</v>
      </c>
      <c r="M39" s="3">
        <f t="shared" si="1"/>
        <v>143</v>
      </c>
      <c r="N39" s="3">
        <f t="shared" si="2"/>
        <v>230719</v>
      </c>
      <c r="O39" s="3">
        <f t="shared" si="3"/>
        <v>360330</v>
      </c>
      <c r="P39" s="3">
        <f t="shared" si="4"/>
        <v>-129611</v>
      </c>
    </row>
    <row r="40" spans="1:16">
      <c r="A40" s="3" t="s">
        <v>79</v>
      </c>
      <c r="B40" s="4">
        <v>46112</v>
      </c>
      <c r="C40" s="3" t="s">
        <v>17</v>
      </c>
      <c r="D40" s="3" t="s">
        <v>50</v>
      </c>
      <c r="E40" s="3" t="s">
        <v>19</v>
      </c>
      <c r="F40" s="3">
        <v>6342</v>
      </c>
      <c r="G40" s="3">
        <v>7016</v>
      </c>
      <c r="H40" s="3" t="s">
        <v>32</v>
      </c>
      <c r="I40" s="3" t="s">
        <v>21</v>
      </c>
      <c r="J40" s="6" t="s">
        <v>22</v>
      </c>
      <c r="K40" s="2">
        <v>2026</v>
      </c>
      <c r="L40" s="3">
        <f t="shared" si="0"/>
        <v>-674</v>
      </c>
      <c r="M40" s="3">
        <f t="shared" si="1"/>
        <v>142</v>
      </c>
      <c r="N40" s="3">
        <f t="shared" si="2"/>
        <v>230719</v>
      </c>
      <c r="O40" s="3">
        <f t="shared" si="3"/>
        <v>354714</v>
      </c>
      <c r="P40" s="3">
        <f t="shared" si="4"/>
        <v>-123995</v>
      </c>
    </row>
    <row r="41" spans="1:16">
      <c r="A41" s="3" t="s">
        <v>80</v>
      </c>
      <c r="B41" s="4">
        <v>46066</v>
      </c>
      <c r="C41" s="3" t="s">
        <v>30</v>
      </c>
      <c r="D41" s="3" t="s">
        <v>50</v>
      </c>
      <c r="E41" s="3" t="s">
        <v>19</v>
      </c>
      <c r="F41" s="3">
        <v>1213</v>
      </c>
      <c r="G41" s="3">
        <v>1233</v>
      </c>
      <c r="H41" s="3" t="s">
        <v>32</v>
      </c>
      <c r="I41" s="3" t="s">
        <v>21</v>
      </c>
      <c r="J41" s="6" t="s">
        <v>48</v>
      </c>
      <c r="K41" s="2">
        <v>2026</v>
      </c>
      <c r="L41" s="3">
        <f t="shared" si="0"/>
        <v>-20</v>
      </c>
      <c r="M41" s="3">
        <f t="shared" si="1"/>
        <v>141</v>
      </c>
      <c r="N41" s="3">
        <f t="shared" si="2"/>
        <v>230719</v>
      </c>
      <c r="O41" s="3">
        <f t="shared" si="3"/>
        <v>348372</v>
      </c>
      <c r="P41" s="3">
        <f t="shared" si="4"/>
        <v>-117653</v>
      </c>
    </row>
    <row r="42" spans="1:16">
      <c r="A42" s="3" t="s">
        <v>81</v>
      </c>
      <c r="B42" s="4">
        <v>46132</v>
      </c>
      <c r="C42" s="3" t="s">
        <v>17</v>
      </c>
      <c r="D42" s="3" t="s">
        <v>17</v>
      </c>
      <c r="E42" s="3" t="s">
        <v>25</v>
      </c>
      <c r="F42" s="3">
        <v>13153</v>
      </c>
      <c r="G42" s="3">
        <v>12307</v>
      </c>
      <c r="H42" s="3" t="s">
        <v>32</v>
      </c>
      <c r="I42" s="3" t="s">
        <v>27</v>
      </c>
      <c r="J42" s="6" t="s">
        <v>28</v>
      </c>
      <c r="K42" s="2">
        <v>2026</v>
      </c>
      <c r="L42" s="3">
        <f t="shared" si="0"/>
        <v>846</v>
      </c>
      <c r="M42" s="3">
        <f t="shared" si="1"/>
        <v>140</v>
      </c>
      <c r="N42" s="3">
        <f t="shared" si="2"/>
        <v>230719</v>
      </c>
      <c r="O42" s="3">
        <f t="shared" si="3"/>
        <v>347159</v>
      </c>
      <c r="P42" s="3">
        <f t="shared" si="4"/>
        <v>-116440</v>
      </c>
    </row>
    <row r="43" spans="1:16">
      <c r="A43" s="3" t="s">
        <v>82</v>
      </c>
      <c r="B43" s="4">
        <v>46060</v>
      </c>
      <c r="C43" s="3" t="s">
        <v>37</v>
      </c>
      <c r="D43" s="3" t="s">
        <v>38</v>
      </c>
      <c r="E43" s="3" t="s">
        <v>19</v>
      </c>
      <c r="F43" s="3">
        <v>1130</v>
      </c>
      <c r="G43" s="3">
        <v>1063</v>
      </c>
      <c r="H43" s="3" t="s">
        <v>26</v>
      </c>
      <c r="I43" s="3" t="s">
        <v>27</v>
      </c>
      <c r="J43" s="6" t="s">
        <v>48</v>
      </c>
      <c r="K43" s="2">
        <v>2026</v>
      </c>
      <c r="L43" s="3">
        <f t="shared" si="0"/>
        <v>67</v>
      </c>
      <c r="M43" s="3">
        <f t="shared" si="1"/>
        <v>139</v>
      </c>
      <c r="N43" s="3">
        <f t="shared" si="2"/>
        <v>217566</v>
      </c>
      <c r="O43" s="3">
        <f t="shared" si="3"/>
        <v>347159</v>
      </c>
      <c r="P43" s="3">
        <f t="shared" si="4"/>
        <v>-129593</v>
      </c>
    </row>
    <row r="44" spans="1:16">
      <c r="A44" s="3" t="s">
        <v>83</v>
      </c>
      <c r="B44" s="4">
        <v>46128</v>
      </c>
      <c r="C44" s="3" t="s">
        <v>17</v>
      </c>
      <c r="D44" s="3" t="s">
        <v>69</v>
      </c>
      <c r="E44" s="3" t="s">
        <v>19</v>
      </c>
      <c r="F44" s="3">
        <v>3572</v>
      </c>
      <c r="G44" s="3">
        <v>3808</v>
      </c>
      <c r="H44" s="3" t="s">
        <v>32</v>
      </c>
      <c r="I44" s="3" t="s">
        <v>21</v>
      </c>
      <c r="J44" s="6" t="s">
        <v>28</v>
      </c>
      <c r="K44" s="2">
        <v>2026</v>
      </c>
      <c r="L44" s="3">
        <f t="shared" si="0"/>
        <v>-236</v>
      </c>
      <c r="M44" s="3">
        <f t="shared" si="1"/>
        <v>138</v>
      </c>
      <c r="N44" s="3">
        <f t="shared" si="2"/>
        <v>217566</v>
      </c>
      <c r="O44" s="3">
        <f t="shared" si="3"/>
        <v>346029</v>
      </c>
      <c r="P44" s="3">
        <f t="shared" si="4"/>
        <v>-128463</v>
      </c>
    </row>
    <row r="45" spans="1:16">
      <c r="A45" s="3" t="s">
        <v>84</v>
      </c>
      <c r="B45" s="4">
        <v>46149</v>
      </c>
      <c r="C45" s="3" t="s">
        <v>30</v>
      </c>
      <c r="D45" s="3" t="s">
        <v>69</v>
      </c>
      <c r="E45" s="3" t="s">
        <v>19</v>
      </c>
      <c r="F45" s="3">
        <v>3251</v>
      </c>
      <c r="G45" s="3">
        <v>3832</v>
      </c>
      <c r="H45" s="3" t="s">
        <v>20</v>
      </c>
      <c r="I45" s="3" t="s">
        <v>39</v>
      </c>
      <c r="J45" s="6" t="s">
        <v>33</v>
      </c>
      <c r="K45" s="2">
        <v>2026</v>
      </c>
      <c r="L45" s="3">
        <f t="shared" si="0"/>
        <v>-581</v>
      </c>
      <c r="M45" s="3">
        <f t="shared" si="1"/>
        <v>137</v>
      </c>
      <c r="N45" s="3">
        <f t="shared" si="2"/>
        <v>217566</v>
      </c>
      <c r="O45" s="3">
        <f t="shared" si="3"/>
        <v>342457</v>
      </c>
      <c r="P45" s="3">
        <f t="shared" si="4"/>
        <v>-124891</v>
      </c>
    </row>
    <row r="46" spans="1:16">
      <c r="A46" s="3" t="s">
        <v>85</v>
      </c>
      <c r="B46" s="4">
        <v>46051</v>
      </c>
      <c r="C46" s="3" t="s">
        <v>37</v>
      </c>
      <c r="D46" s="3" t="s">
        <v>50</v>
      </c>
      <c r="E46" s="3" t="s">
        <v>19</v>
      </c>
      <c r="F46" s="3">
        <v>2294</v>
      </c>
      <c r="G46" s="3">
        <v>2369</v>
      </c>
      <c r="H46" s="3" t="s">
        <v>26</v>
      </c>
      <c r="I46" s="3" t="s">
        <v>27</v>
      </c>
      <c r="J46" s="6" t="s">
        <v>42</v>
      </c>
      <c r="K46" s="2">
        <v>2026</v>
      </c>
      <c r="L46" s="3">
        <f t="shared" si="0"/>
        <v>-75</v>
      </c>
      <c r="M46" s="3">
        <f t="shared" si="1"/>
        <v>136</v>
      </c>
      <c r="N46" s="3">
        <f t="shared" si="2"/>
        <v>217566</v>
      </c>
      <c r="O46" s="3">
        <f t="shared" si="3"/>
        <v>339206</v>
      </c>
      <c r="P46" s="3">
        <f t="shared" si="4"/>
        <v>-121640</v>
      </c>
    </row>
    <row r="47" spans="1:16">
      <c r="A47" s="3" t="s">
        <v>86</v>
      </c>
      <c r="B47" s="4">
        <v>46101</v>
      </c>
      <c r="C47" s="3" t="s">
        <v>17</v>
      </c>
      <c r="D47" s="3" t="s">
        <v>38</v>
      </c>
      <c r="E47" s="3" t="s">
        <v>19</v>
      </c>
      <c r="F47" s="3">
        <v>6414</v>
      </c>
      <c r="G47" s="3">
        <v>5760</v>
      </c>
      <c r="H47" s="3" t="s">
        <v>20</v>
      </c>
      <c r="I47" s="3" t="s">
        <v>27</v>
      </c>
      <c r="J47" s="6" t="s">
        <v>22</v>
      </c>
      <c r="K47" s="2">
        <v>2026</v>
      </c>
      <c r="L47" s="3">
        <f t="shared" si="0"/>
        <v>654</v>
      </c>
      <c r="M47" s="3">
        <f t="shared" si="1"/>
        <v>135</v>
      </c>
      <c r="N47" s="3">
        <f t="shared" si="2"/>
        <v>217566</v>
      </c>
      <c r="O47" s="3">
        <f t="shared" si="3"/>
        <v>336912</v>
      </c>
      <c r="P47" s="3">
        <f t="shared" si="4"/>
        <v>-119346</v>
      </c>
    </row>
    <row r="48" spans="1:16">
      <c r="A48" s="3" t="s">
        <v>87</v>
      </c>
      <c r="B48" s="4">
        <v>46165</v>
      </c>
      <c r="C48" s="3" t="s">
        <v>30</v>
      </c>
      <c r="D48" s="3" t="s">
        <v>17</v>
      </c>
      <c r="E48" s="3" t="s">
        <v>25</v>
      </c>
      <c r="F48" s="3">
        <v>11306</v>
      </c>
      <c r="G48" s="3">
        <v>9754</v>
      </c>
      <c r="H48" s="3" t="s">
        <v>20</v>
      </c>
      <c r="I48" s="3" t="s">
        <v>39</v>
      </c>
      <c r="J48" s="6" t="s">
        <v>33</v>
      </c>
      <c r="K48" s="2">
        <v>2026</v>
      </c>
      <c r="L48" s="3">
        <f t="shared" si="0"/>
        <v>1552</v>
      </c>
      <c r="M48" s="3">
        <f t="shared" si="1"/>
        <v>134</v>
      </c>
      <c r="N48" s="3">
        <f t="shared" si="2"/>
        <v>217566</v>
      </c>
      <c r="O48" s="3">
        <f t="shared" si="3"/>
        <v>330498</v>
      </c>
      <c r="P48" s="3">
        <f t="shared" si="4"/>
        <v>-112932</v>
      </c>
    </row>
    <row r="49" spans="1:16">
      <c r="A49" s="3" t="s">
        <v>88</v>
      </c>
      <c r="B49" s="4">
        <v>46098</v>
      </c>
      <c r="C49" s="3" t="s">
        <v>17</v>
      </c>
      <c r="D49" s="3" t="s">
        <v>31</v>
      </c>
      <c r="E49" s="3" t="s">
        <v>19</v>
      </c>
      <c r="F49" s="3">
        <v>1656</v>
      </c>
      <c r="G49" s="3">
        <v>1976</v>
      </c>
      <c r="H49" s="3" t="s">
        <v>26</v>
      </c>
      <c r="I49" s="3" t="s">
        <v>39</v>
      </c>
      <c r="J49" s="6" t="s">
        <v>22</v>
      </c>
      <c r="K49" s="2">
        <v>2026</v>
      </c>
      <c r="L49" s="3">
        <f t="shared" si="0"/>
        <v>-320</v>
      </c>
      <c r="M49" s="3">
        <f t="shared" si="1"/>
        <v>133</v>
      </c>
      <c r="N49" s="3">
        <f t="shared" si="2"/>
        <v>206260</v>
      </c>
      <c r="O49" s="3">
        <f t="shared" si="3"/>
        <v>330498</v>
      </c>
      <c r="P49" s="3">
        <f t="shared" si="4"/>
        <v>-124238</v>
      </c>
    </row>
    <row r="50" spans="1:16">
      <c r="A50" s="3" t="s">
        <v>89</v>
      </c>
      <c r="B50" s="4">
        <v>46116</v>
      </c>
      <c r="C50" s="3" t="s">
        <v>24</v>
      </c>
      <c r="D50" s="3" t="s">
        <v>47</v>
      </c>
      <c r="E50" s="3" t="s">
        <v>25</v>
      </c>
      <c r="F50" s="3">
        <v>17526</v>
      </c>
      <c r="G50" s="3">
        <v>17716</v>
      </c>
      <c r="H50" s="3" t="s">
        <v>20</v>
      </c>
      <c r="I50" s="3" t="s">
        <v>27</v>
      </c>
      <c r="J50" s="6" t="s">
        <v>28</v>
      </c>
      <c r="K50" s="2">
        <v>2026</v>
      </c>
      <c r="L50" s="3">
        <f t="shared" si="0"/>
        <v>-190</v>
      </c>
      <c r="M50" s="3">
        <f t="shared" si="1"/>
        <v>132</v>
      </c>
      <c r="N50" s="3">
        <f t="shared" si="2"/>
        <v>206260</v>
      </c>
      <c r="O50" s="3">
        <f t="shared" si="3"/>
        <v>328842</v>
      </c>
      <c r="P50" s="3">
        <f t="shared" si="4"/>
        <v>-122582</v>
      </c>
    </row>
    <row r="51" spans="1:16">
      <c r="A51" s="3" t="s">
        <v>90</v>
      </c>
      <c r="B51" s="4">
        <v>46189</v>
      </c>
      <c r="C51" s="3" t="s">
        <v>24</v>
      </c>
      <c r="D51" s="3" t="s">
        <v>17</v>
      </c>
      <c r="E51" s="3" t="s">
        <v>25</v>
      </c>
      <c r="F51" s="3">
        <v>5349</v>
      </c>
      <c r="G51" s="3">
        <v>5831</v>
      </c>
      <c r="H51" s="3" t="s">
        <v>26</v>
      </c>
      <c r="I51" s="3" t="s">
        <v>21</v>
      </c>
      <c r="J51" s="6" t="s">
        <v>40</v>
      </c>
      <c r="K51" s="2">
        <v>2026</v>
      </c>
      <c r="L51" s="3">
        <f t="shared" si="0"/>
        <v>-482</v>
      </c>
      <c r="M51" s="3">
        <f t="shared" si="1"/>
        <v>131</v>
      </c>
      <c r="N51" s="3">
        <f t="shared" si="2"/>
        <v>188734</v>
      </c>
      <c r="O51" s="3">
        <f t="shared" si="3"/>
        <v>328842</v>
      </c>
      <c r="P51" s="3">
        <f t="shared" si="4"/>
        <v>-140108</v>
      </c>
    </row>
    <row r="52" spans="1:16">
      <c r="A52" s="3" t="s">
        <v>91</v>
      </c>
      <c r="B52" s="4">
        <v>46114</v>
      </c>
      <c r="C52" s="3" t="s">
        <v>24</v>
      </c>
      <c r="D52" s="3" t="s">
        <v>18</v>
      </c>
      <c r="E52" s="3" t="s">
        <v>19</v>
      </c>
      <c r="F52" s="3">
        <v>5294</v>
      </c>
      <c r="G52" s="3">
        <v>6057</v>
      </c>
      <c r="H52" s="3" t="s">
        <v>26</v>
      </c>
      <c r="I52" s="3" t="s">
        <v>39</v>
      </c>
      <c r="J52" s="6" t="s">
        <v>28</v>
      </c>
      <c r="K52" s="2">
        <v>2026</v>
      </c>
      <c r="L52" s="3">
        <f t="shared" si="0"/>
        <v>-763</v>
      </c>
      <c r="M52" s="3">
        <f t="shared" si="1"/>
        <v>130</v>
      </c>
      <c r="N52" s="3">
        <f t="shared" si="2"/>
        <v>183385</v>
      </c>
      <c r="O52" s="3">
        <f t="shared" si="3"/>
        <v>328842</v>
      </c>
      <c r="P52" s="3">
        <f t="shared" si="4"/>
        <v>-145457</v>
      </c>
    </row>
    <row r="53" spans="1:16">
      <c r="A53" s="3" t="s">
        <v>92</v>
      </c>
      <c r="B53" s="4">
        <v>46028</v>
      </c>
      <c r="C53" s="3" t="s">
        <v>17</v>
      </c>
      <c r="D53" s="3" t="s">
        <v>50</v>
      </c>
      <c r="E53" s="3" t="s">
        <v>19</v>
      </c>
      <c r="F53" s="3">
        <v>1370</v>
      </c>
      <c r="G53" s="3">
        <v>1400</v>
      </c>
      <c r="H53" s="3" t="s">
        <v>26</v>
      </c>
      <c r="I53" s="3" t="s">
        <v>39</v>
      </c>
      <c r="J53" s="6" t="s">
        <v>42</v>
      </c>
      <c r="K53" s="2">
        <v>2026</v>
      </c>
      <c r="L53" s="3">
        <f t="shared" si="0"/>
        <v>-30</v>
      </c>
      <c r="M53" s="3">
        <f t="shared" si="1"/>
        <v>129</v>
      </c>
      <c r="N53" s="3">
        <f t="shared" si="2"/>
        <v>183385</v>
      </c>
      <c r="O53" s="3">
        <f t="shared" si="3"/>
        <v>323548</v>
      </c>
      <c r="P53" s="3">
        <f t="shared" si="4"/>
        <v>-140163</v>
      </c>
    </row>
    <row r="54" spans="1:16">
      <c r="A54" s="3" t="s">
        <v>93</v>
      </c>
      <c r="B54" s="4">
        <v>46163</v>
      </c>
      <c r="C54" s="3" t="s">
        <v>17</v>
      </c>
      <c r="D54" s="3" t="s">
        <v>69</v>
      </c>
      <c r="E54" s="3" t="s">
        <v>19</v>
      </c>
      <c r="F54" s="3">
        <v>3424</v>
      </c>
      <c r="G54" s="3">
        <v>4064</v>
      </c>
      <c r="H54" s="3" t="s">
        <v>20</v>
      </c>
      <c r="I54" s="3" t="s">
        <v>39</v>
      </c>
      <c r="J54" s="6" t="s">
        <v>33</v>
      </c>
      <c r="K54" s="2">
        <v>2026</v>
      </c>
      <c r="L54" s="3">
        <f t="shared" si="0"/>
        <v>-640</v>
      </c>
      <c r="M54" s="3">
        <f t="shared" si="1"/>
        <v>128</v>
      </c>
      <c r="N54" s="3">
        <f t="shared" si="2"/>
        <v>183385</v>
      </c>
      <c r="O54" s="3">
        <f t="shared" si="3"/>
        <v>322178</v>
      </c>
      <c r="P54" s="3">
        <f t="shared" si="4"/>
        <v>-138793</v>
      </c>
    </row>
    <row r="55" spans="1:16">
      <c r="A55" s="3" t="s">
        <v>94</v>
      </c>
      <c r="B55" s="4">
        <v>46038</v>
      </c>
      <c r="C55" s="3" t="s">
        <v>37</v>
      </c>
      <c r="D55" s="3" t="s">
        <v>38</v>
      </c>
      <c r="E55" s="3" t="s">
        <v>19</v>
      </c>
      <c r="F55" s="3">
        <v>1998</v>
      </c>
      <c r="G55" s="3">
        <v>1773</v>
      </c>
      <c r="H55" s="3" t="s">
        <v>20</v>
      </c>
      <c r="I55" s="3" t="s">
        <v>39</v>
      </c>
      <c r="J55" s="6" t="s">
        <v>42</v>
      </c>
      <c r="K55" s="2">
        <v>2026</v>
      </c>
      <c r="L55" s="3">
        <f t="shared" si="0"/>
        <v>225</v>
      </c>
      <c r="M55" s="3">
        <f t="shared" si="1"/>
        <v>127</v>
      </c>
      <c r="N55" s="3">
        <f t="shared" si="2"/>
        <v>183385</v>
      </c>
      <c r="O55" s="3">
        <f t="shared" si="3"/>
        <v>318754</v>
      </c>
      <c r="P55" s="3">
        <f t="shared" si="4"/>
        <v>-135369</v>
      </c>
    </row>
    <row r="56" spans="1:16">
      <c r="A56" s="3" t="s">
        <v>95</v>
      </c>
      <c r="B56" s="4">
        <v>46030</v>
      </c>
      <c r="C56" s="3" t="s">
        <v>37</v>
      </c>
      <c r="D56" s="3" t="s">
        <v>31</v>
      </c>
      <c r="E56" s="3" t="s">
        <v>19</v>
      </c>
      <c r="F56" s="3">
        <v>1027</v>
      </c>
      <c r="G56" s="3">
        <v>1119</v>
      </c>
      <c r="H56" s="3" t="s">
        <v>26</v>
      </c>
      <c r="I56" s="3" t="s">
        <v>39</v>
      </c>
      <c r="J56" s="6" t="s">
        <v>42</v>
      </c>
      <c r="K56" s="2">
        <v>2026</v>
      </c>
      <c r="L56" s="3">
        <f t="shared" si="0"/>
        <v>-92</v>
      </c>
      <c r="M56" s="3">
        <f t="shared" si="1"/>
        <v>126</v>
      </c>
      <c r="N56" s="3">
        <f t="shared" si="2"/>
        <v>183385</v>
      </c>
      <c r="O56" s="3">
        <f t="shared" si="3"/>
        <v>316756</v>
      </c>
      <c r="P56" s="3">
        <f t="shared" si="4"/>
        <v>-133371</v>
      </c>
    </row>
    <row r="57" spans="1:16">
      <c r="A57" s="3" t="s">
        <v>96</v>
      </c>
      <c r="B57" s="4">
        <v>46184</v>
      </c>
      <c r="C57" s="3" t="s">
        <v>17</v>
      </c>
      <c r="D57" s="3" t="s">
        <v>18</v>
      </c>
      <c r="E57" s="3" t="s">
        <v>19</v>
      </c>
      <c r="F57" s="3">
        <v>1792</v>
      </c>
      <c r="G57" s="3">
        <v>1812</v>
      </c>
      <c r="H57" s="3" t="s">
        <v>32</v>
      </c>
      <c r="I57" s="3" t="s">
        <v>27</v>
      </c>
      <c r="J57" s="6" t="s">
        <v>40</v>
      </c>
      <c r="K57" s="2">
        <v>2026</v>
      </c>
      <c r="L57" s="3">
        <f t="shared" si="0"/>
        <v>-20</v>
      </c>
      <c r="M57" s="3">
        <f t="shared" si="1"/>
        <v>125</v>
      </c>
      <c r="N57" s="3">
        <f t="shared" si="2"/>
        <v>183385</v>
      </c>
      <c r="O57" s="3">
        <f t="shared" si="3"/>
        <v>315729</v>
      </c>
      <c r="P57" s="3">
        <f t="shared" si="4"/>
        <v>-132344</v>
      </c>
    </row>
    <row r="58" spans="1:16">
      <c r="A58" s="3" t="s">
        <v>97</v>
      </c>
      <c r="B58" s="4">
        <v>46084</v>
      </c>
      <c r="C58" s="3" t="s">
        <v>17</v>
      </c>
      <c r="D58" s="3" t="s">
        <v>38</v>
      </c>
      <c r="E58" s="3" t="s">
        <v>19</v>
      </c>
      <c r="F58" s="3">
        <v>3301</v>
      </c>
      <c r="G58" s="3">
        <v>2906</v>
      </c>
      <c r="H58" s="3" t="s">
        <v>20</v>
      </c>
      <c r="I58" s="3" t="s">
        <v>27</v>
      </c>
      <c r="J58" s="6" t="s">
        <v>22</v>
      </c>
      <c r="K58" s="2">
        <v>2026</v>
      </c>
      <c r="L58" s="3">
        <f t="shared" si="0"/>
        <v>395</v>
      </c>
      <c r="M58" s="3">
        <f t="shared" si="1"/>
        <v>124</v>
      </c>
      <c r="N58" s="3">
        <f t="shared" si="2"/>
        <v>183385</v>
      </c>
      <c r="O58" s="3">
        <f t="shared" si="3"/>
        <v>313937</v>
      </c>
      <c r="P58" s="3">
        <f t="shared" si="4"/>
        <v>-130552</v>
      </c>
    </row>
    <row r="59" spans="1:16">
      <c r="A59" s="3" t="s">
        <v>98</v>
      </c>
      <c r="B59" s="4">
        <v>46059</v>
      </c>
      <c r="C59" s="3" t="s">
        <v>24</v>
      </c>
      <c r="D59" s="3" t="s">
        <v>38</v>
      </c>
      <c r="E59" s="3" t="s">
        <v>19</v>
      </c>
      <c r="F59" s="3">
        <v>2542</v>
      </c>
      <c r="G59" s="3">
        <v>2269</v>
      </c>
      <c r="H59" s="3" t="s">
        <v>26</v>
      </c>
      <c r="I59" s="3" t="s">
        <v>39</v>
      </c>
      <c r="J59" s="6" t="s">
        <v>48</v>
      </c>
      <c r="K59" s="2">
        <v>2026</v>
      </c>
      <c r="L59" s="3">
        <f t="shared" si="0"/>
        <v>273</v>
      </c>
      <c r="M59" s="3">
        <f t="shared" si="1"/>
        <v>123</v>
      </c>
      <c r="N59" s="3">
        <f t="shared" si="2"/>
        <v>183385</v>
      </c>
      <c r="O59" s="3">
        <f t="shared" si="3"/>
        <v>310636</v>
      </c>
      <c r="P59" s="3">
        <f t="shared" si="4"/>
        <v>-127251</v>
      </c>
    </row>
    <row r="60" spans="1:16">
      <c r="A60" s="3" t="s">
        <v>99</v>
      </c>
      <c r="B60" s="4">
        <v>46026</v>
      </c>
      <c r="C60" s="3" t="s">
        <v>24</v>
      </c>
      <c r="D60" s="3" t="s">
        <v>50</v>
      </c>
      <c r="E60" s="3" t="s">
        <v>19</v>
      </c>
      <c r="F60" s="3">
        <v>1717</v>
      </c>
      <c r="G60" s="3">
        <v>1596</v>
      </c>
      <c r="H60" s="3" t="s">
        <v>32</v>
      </c>
      <c r="I60" s="3" t="s">
        <v>27</v>
      </c>
      <c r="J60" s="6" t="s">
        <v>42</v>
      </c>
      <c r="K60" s="2">
        <v>2026</v>
      </c>
      <c r="L60" s="3">
        <f t="shared" si="0"/>
        <v>121</v>
      </c>
      <c r="M60" s="3">
        <f t="shared" si="1"/>
        <v>122</v>
      </c>
      <c r="N60" s="3">
        <f t="shared" si="2"/>
        <v>183385</v>
      </c>
      <c r="O60" s="3">
        <f t="shared" si="3"/>
        <v>308094</v>
      </c>
      <c r="P60" s="3">
        <f t="shared" si="4"/>
        <v>-124709</v>
      </c>
    </row>
    <row r="61" spans="1:16">
      <c r="A61" s="3" t="s">
        <v>100</v>
      </c>
      <c r="B61" s="4">
        <v>46126</v>
      </c>
      <c r="C61" s="3" t="s">
        <v>24</v>
      </c>
      <c r="D61" s="3" t="s">
        <v>38</v>
      </c>
      <c r="E61" s="3" t="s">
        <v>19</v>
      </c>
      <c r="F61" s="3">
        <v>6303</v>
      </c>
      <c r="G61" s="3">
        <v>6058</v>
      </c>
      <c r="H61" s="3" t="s">
        <v>32</v>
      </c>
      <c r="I61" s="3" t="s">
        <v>21</v>
      </c>
      <c r="J61" s="6" t="s">
        <v>28</v>
      </c>
      <c r="K61" s="2">
        <v>2026</v>
      </c>
      <c r="L61" s="3">
        <f t="shared" si="0"/>
        <v>245</v>
      </c>
      <c r="M61" s="3">
        <f t="shared" si="1"/>
        <v>121</v>
      </c>
      <c r="N61" s="3">
        <f t="shared" si="2"/>
        <v>183385</v>
      </c>
      <c r="O61" s="3">
        <f t="shared" si="3"/>
        <v>306377</v>
      </c>
      <c r="P61" s="3">
        <f t="shared" si="4"/>
        <v>-122992</v>
      </c>
    </row>
    <row r="62" spans="1:16">
      <c r="A62" s="3" t="s">
        <v>101</v>
      </c>
      <c r="B62" s="4">
        <v>46182</v>
      </c>
      <c r="C62" s="3" t="s">
        <v>17</v>
      </c>
      <c r="D62" s="3" t="s">
        <v>31</v>
      </c>
      <c r="E62" s="3" t="s">
        <v>19</v>
      </c>
      <c r="F62" s="3">
        <v>5306</v>
      </c>
      <c r="G62" s="3">
        <v>5505</v>
      </c>
      <c r="H62" s="3" t="s">
        <v>20</v>
      </c>
      <c r="I62" s="3" t="s">
        <v>39</v>
      </c>
      <c r="J62" s="6" t="s">
        <v>40</v>
      </c>
      <c r="K62" s="2">
        <v>2026</v>
      </c>
      <c r="L62" s="3">
        <f t="shared" si="0"/>
        <v>-199</v>
      </c>
      <c r="M62" s="3">
        <f t="shared" si="1"/>
        <v>120</v>
      </c>
      <c r="N62" s="3">
        <f t="shared" si="2"/>
        <v>183385</v>
      </c>
      <c r="O62" s="3">
        <f t="shared" si="3"/>
        <v>300074</v>
      </c>
      <c r="P62" s="3">
        <f t="shared" si="4"/>
        <v>-116689</v>
      </c>
    </row>
    <row r="63" spans="1:16">
      <c r="A63" s="3" t="s">
        <v>102</v>
      </c>
      <c r="B63" s="4">
        <v>46121</v>
      </c>
      <c r="C63" s="3" t="s">
        <v>30</v>
      </c>
      <c r="D63" s="3" t="s">
        <v>38</v>
      </c>
      <c r="E63" s="3" t="s">
        <v>19</v>
      </c>
      <c r="F63" s="3">
        <v>2283</v>
      </c>
      <c r="G63" s="3">
        <v>2429</v>
      </c>
      <c r="H63" s="3" t="s">
        <v>26</v>
      </c>
      <c r="I63" s="3" t="s">
        <v>27</v>
      </c>
      <c r="J63" s="6" t="s">
        <v>28</v>
      </c>
      <c r="K63" s="2">
        <v>2026</v>
      </c>
      <c r="L63" s="3">
        <f t="shared" si="0"/>
        <v>-146</v>
      </c>
      <c r="M63" s="3">
        <f t="shared" si="1"/>
        <v>119</v>
      </c>
      <c r="N63" s="3">
        <f t="shared" si="2"/>
        <v>183385</v>
      </c>
      <c r="O63" s="3">
        <f t="shared" si="3"/>
        <v>294768</v>
      </c>
      <c r="P63" s="3">
        <f t="shared" si="4"/>
        <v>-111383</v>
      </c>
    </row>
    <row r="64" spans="1:16">
      <c r="A64" s="3" t="s">
        <v>103</v>
      </c>
      <c r="B64" s="4">
        <v>46094</v>
      </c>
      <c r="C64" s="3" t="s">
        <v>37</v>
      </c>
      <c r="D64" s="3" t="s">
        <v>18</v>
      </c>
      <c r="E64" s="3" t="s">
        <v>19</v>
      </c>
      <c r="F64" s="3">
        <v>2165</v>
      </c>
      <c r="G64" s="3">
        <v>2100</v>
      </c>
      <c r="H64" s="3" t="s">
        <v>20</v>
      </c>
      <c r="I64" s="3" t="s">
        <v>27</v>
      </c>
      <c r="J64" s="6" t="s">
        <v>22</v>
      </c>
      <c r="K64" s="2">
        <v>2026</v>
      </c>
      <c r="L64" s="3">
        <f t="shared" si="0"/>
        <v>65</v>
      </c>
      <c r="M64" s="3">
        <f t="shared" si="1"/>
        <v>118</v>
      </c>
      <c r="N64" s="3">
        <f t="shared" si="2"/>
        <v>183385</v>
      </c>
      <c r="O64" s="3">
        <f t="shared" si="3"/>
        <v>292485</v>
      </c>
      <c r="P64" s="3">
        <f t="shared" si="4"/>
        <v>-109100</v>
      </c>
    </row>
    <row r="65" spans="1:16">
      <c r="A65" s="3" t="s">
        <v>104</v>
      </c>
      <c r="B65" s="4">
        <v>46067</v>
      </c>
      <c r="C65" s="3" t="s">
        <v>17</v>
      </c>
      <c r="D65" s="3" t="s">
        <v>18</v>
      </c>
      <c r="E65" s="3" t="s">
        <v>19</v>
      </c>
      <c r="F65" s="3">
        <v>3071</v>
      </c>
      <c r="G65" s="3">
        <v>3199</v>
      </c>
      <c r="H65" s="3" t="s">
        <v>32</v>
      </c>
      <c r="I65" s="3" t="s">
        <v>21</v>
      </c>
      <c r="J65" s="6" t="s">
        <v>48</v>
      </c>
      <c r="K65" s="2">
        <v>2026</v>
      </c>
      <c r="L65" s="3">
        <f t="shared" si="0"/>
        <v>-128</v>
      </c>
      <c r="M65" s="3">
        <f t="shared" si="1"/>
        <v>117</v>
      </c>
      <c r="N65" s="3">
        <f t="shared" si="2"/>
        <v>183385</v>
      </c>
      <c r="O65" s="3">
        <f t="shared" si="3"/>
        <v>290320</v>
      </c>
      <c r="P65" s="3">
        <f t="shared" si="4"/>
        <v>-106935</v>
      </c>
    </row>
    <row r="66" spans="1:16">
      <c r="A66" s="3" t="s">
        <v>105</v>
      </c>
      <c r="B66" s="4">
        <v>46118</v>
      </c>
      <c r="C66" s="3" t="s">
        <v>17</v>
      </c>
      <c r="D66" s="3" t="s">
        <v>50</v>
      </c>
      <c r="E66" s="3" t="s">
        <v>19</v>
      </c>
      <c r="F66" s="3">
        <v>3006</v>
      </c>
      <c r="G66" s="3">
        <v>3509</v>
      </c>
      <c r="H66" s="3" t="s">
        <v>26</v>
      </c>
      <c r="I66" s="3" t="s">
        <v>27</v>
      </c>
      <c r="J66" s="6" t="s">
        <v>28</v>
      </c>
      <c r="K66" s="2">
        <v>2026</v>
      </c>
      <c r="L66" s="3">
        <f t="shared" si="0"/>
        <v>-503</v>
      </c>
      <c r="M66" s="3">
        <f t="shared" si="1"/>
        <v>116</v>
      </c>
      <c r="N66" s="3">
        <f t="shared" si="2"/>
        <v>183385</v>
      </c>
      <c r="O66" s="3">
        <f t="shared" si="3"/>
        <v>287249</v>
      </c>
      <c r="P66" s="3">
        <f t="shared" si="4"/>
        <v>-103864</v>
      </c>
    </row>
    <row r="67" spans="1:16">
      <c r="A67" s="3" t="s">
        <v>106</v>
      </c>
      <c r="B67" s="4">
        <v>46041</v>
      </c>
      <c r="C67" s="3" t="s">
        <v>30</v>
      </c>
      <c r="D67" s="3" t="s">
        <v>18</v>
      </c>
      <c r="E67" s="3" t="s">
        <v>19</v>
      </c>
      <c r="F67" s="3">
        <v>1517</v>
      </c>
      <c r="G67" s="3">
        <v>1621</v>
      </c>
      <c r="H67" s="3" t="s">
        <v>32</v>
      </c>
      <c r="I67" s="3" t="s">
        <v>27</v>
      </c>
      <c r="J67" s="6" t="s">
        <v>42</v>
      </c>
      <c r="K67" s="2">
        <v>2026</v>
      </c>
      <c r="L67" s="3">
        <f t="shared" ref="L67:L130" si="5">F67-G67</f>
        <v>-104</v>
      </c>
      <c r="M67" s="3">
        <f t="shared" ref="M67:M130" si="6">COUNTA(A67:A246)</f>
        <v>115</v>
      </c>
      <c r="N67" s="3">
        <f t="shared" ref="N67:N130" si="7">SUMIF(E67:E246,"Revenue",F67:F246)</f>
        <v>183385</v>
      </c>
      <c r="O67" s="3">
        <f t="shared" ref="O67:O130" si="8">SUMIF(E67:E246,"Expense",F67:F246)</f>
        <v>284243</v>
      </c>
      <c r="P67" s="3">
        <f t="shared" ref="P67:P130" si="9">N67-O67</f>
        <v>-100858</v>
      </c>
    </row>
    <row r="68" spans="1:16">
      <c r="A68" s="3" t="s">
        <v>107</v>
      </c>
      <c r="B68" s="4">
        <v>46180</v>
      </c>
      <c r="C68" s="3" t="s">
        <v>30</v>
      </c>
      <c r="D68" s="3" t="s">
        <v>38</v>
      </c>
      <c r="E68" s="3" t="s">
        <v>19</v>
      </c>
      <c r="F68" s="3">
        <v>2966</v>
      </c>
      <c r="G68" s="3">
        <v>3412</v>
      </c>
      <c r="H68" s="3" t="s">
        <v>32</v>
      </c>
      <c r="I68" s="3" t="s">
        <v>21</v>
      </c>
      <c r="J68" s="6" t="s">
        <v>40</v>
      </c>
      <c r="K68" s="2">
        <v>2026</v>
      </c>
      <c r="L68" s="3">
        <f t="shared" si="5"/>
        <v>-446</v>
      </c>
      <c r="M68" s="3">
        <f t="shared" si="6"/>
        <v>114</v>
      </c>
      <c r="N68" s="3">
        <f t="shared" si="7"/>
        <v>183385</v>
      </c>
      <c r="O68" s="3">
        <f t="shared" si="8"/>
        <v>282726</v>
      </c>
      <c r="P68" s="3">
        <f t="shared" si="9"/>
        <v>-99341</v>
      </c>
    </row>
    <row r="69" spans="1:16">
      <c r="A69" s="3" t="s">
        <v>108</v>
      </c>
      <c r="B69" s="4">
        <v>46191</v>
      </c>
      <c r="C69" s="3" t="s">
        <v>17</v>
      </c>
      <c r="D69" s="3" t="s">
        <v>38</v>
      </c>
      <c r="E69" s="3" t="s">
        <v>19</v>
      </c>
      <c r="F69" s="3">
        <v>5361</v>
      </c>
      <c r="G69" s="3">
        <v>5302</v>
      </c>
      <c r="H69" s="3" t="s">
        <v>26</v>
      </c>
      <c r="I69" s="3" t="s">
        <v>27</v>
      </c>
      <c r="J69" s="6" t="s">
        <v>40</v>
      </c>
      <c r="K69" s="2">
        <v>2026</v>
      </c>
      <c r="L69" s="3">
        <f t="shared" si="5"/>
        <v>59</v>
      </c>
      <c r="M69" s="3">
        <f t="shared" si="6"/>
        <v>113</v>
      </c>
      <c r="N69" s="3">
        <f t="shared" si="7"/>
        <v>183385</v>
      </c>
      <c r="O69" s="3">
        <f t="shared" si="8"/>
        <v>279760</v>
      </c>
      <c r="P69" s="3">
        <f t="shared" si="9"/>
        <v>-96375</v>
      </c>
    </row>
    <row r="70" spans="1:16">
      <c r="A70" s="3" t="s">
        <v>109</v>
      </c>
      <c r="B70" s="4">
        <v>46194</v>
      </c>
      <c r="C70" s="3" t="s">
        <v>30</v>
      </c>
      <c r="D70" s="3" t="s">
        <v>47</v>
      </c>
      <c r="E70" s="3" t="s">
        <v>25</v>
      </c>
      <c r="F70" s="3">
        <v>4514</v>
      </c>
      <c r="G70" s="3">
        <v>5009</v>
      </c>
      <c r="H70" s="3" t="s">
        <v>32</v>
      </c>
      <c r="I70" s="3" t="s">
        <v>39</v>
      </c>
      <c r="J70" s="6" t="s">
        <v>40</v>
      </c>
      <c r="K70" s="2">
        <v>2026</v>
      </c>
      <c r="L70" s="3">
        <f t="shared" si="5"/>
        <v>-495</v>
      </c>
      <c r="M70" s="3">
        <f t="shared" si="6"/>
        <v>112</v>
      </c>
      <c r="N70" s="3">
        <f t="shared" si="7"/>
        <v>183385</v>
      </c>
      <c r="O70" s="3">
        <f t="shared" si="8"/>
        <v>274399</v>
      </c>
      <c r="P70" s="3">
        <f t="shared" si="9"/>
        <v>-91014</v>
      </c>
    </row>
    <row r="71" spans="1:16">
      <c r="A71" s="3" t="s">
        <v>110</v>
      </c>
      <c r="B71" s="4">
        <v>46066</v>
      </c>
      <c r="C71" s="3" t="s">
        <v>37</v>
      </c>
      <c r="D71" s="3" t="s">
        <v>50</v>
      </c>
      <c r="E71" s="3" t="s">
        <v>19</v>
      </c>
      <c r="F71" s="3">
        <v>3690</v>
      </c>
      <c r="G71" s="3">
        <v>3431</v>
      </c>
      <c r="H71" s="3" t="s">
        <v>26</v>
      </c>
      <c r="I71" s="3" t="s">
        <v>39</v>
      </c>
      <c r="J71" s="6" t="s">
        <v>48</v>
      </c>
      <c r="K71" s="2">
        <v>2026</v>
      </c>
      <c r="L71" s="3">
        <f t="shared" si="5"/>
        <v>259</v>
      </c>
      <c r="M71" s="3">
        <f t="shared" si="6"/>
        <v>111</v>
      </c>
      <c r="N71" s="3">
        <f t="shared" si="7"/>
        <v>178871</v>
      </c>
      <c r="O71" s="3">
        <f t="shared" si="8"/>
        <v>274399</v>
      </c>
      <c r="P71" s="3">
        <f t="shared" si="9"/>
        <v>-95528</v>
      </c>
    </row>
    <row r="72" spans="1:16">
      <c r="A72" s="3" t="s">
        <v>111</v>
      </c>
      <c r="B72" s="4">
        <v>46073</v>
      </c>
      <c r="C72" s="3" t="s">
        <v>30</v>
      </c>
      <c r="D72" s="3" t="s">
        <v>31</v>
      </c>
      <c r="E72" s="3" t="s">
        <v>19</v>
      </c>
      <c r="F72" s="3">
        <v>2344</v>
      </c>
      <c r="G72" s="3">
        <v>2515</v>
      </c>
      <c r="H72" s="3" t="s">
        <v>26</v>
      </c>
      <c r="I72" s="3" t="s">
        <v>39</v>
      </c>
      <c r="J72" s="6" t="s">
        <v>48</v>
      </c>
      <c r="K72" s="2">
        <v>2026</v>
      </c>
      <c r="L72" s="3">
        <f t="shared" si="5"/>
        <v>-171</v>
      </c>
      <c r="M72" s="3">
        <f t="shared" si="6"/>
        <v>110</v>
      </c>
      <c r="N72" s="3">
        <f t="shared" si="7"/>
        <v>178871</v>
      </c>
      <c r="O72" s="3">
        <f t="shared" si="8"/>
        <v>270709</v>
      </c>
      <c r="P72" s="3">
        <f t="shared" si="9"/>
        <v>-91838</v>
      </c>
    </row>
    <row r="73" spans="1:16">
      <c r="A73" s="3" t="s">
        <v>112</v>
      </c>
      <c r="B73" s="4">
        <v>46102</v>
      </c>
      <c r="C73" s="3" t="s">
        <v>24</v>
      </c>
      <c r="D73" s="3" t="s">
        <v>18</v>
      </c>
      <c r="E73" s="3" t="s">
        <v>19</v>
      </c>
      <c r="F73" s="3">
        <v>3855</v>
      </c>
      <c r="G73" s="3">
        <v>3455</v>
      </c>
      <c r="H73" s="3" t="s">
        <v>32</v>
      </c>
      <c r="I73" s="3" t="s">
        <v>21</v>
      </c>
      <c r="J73" s="6" t="s">
        <v>22</v>
      </c>
      <c r="K73" s="2">
        <v>2026</v>
      </c>
      <c r="L73" s="3">
        <f t="shared" si="5"/>
        <v>400</v>
      </c>
      <c r="M73" s="3">
        <f t="shared" si="6"/>
        <v>109</v>
      </c>
      <c r="N73" s="3">
        <f t="shared" si="7"/>
        <v>178871</v>
      </c>
      <c r="O73" s="3">
        <f t="shared" si="8"/>
        <v>268365</v>
      </c>
      <c r="P73" s="3">
        <f t="shared" si="9"/>
        <v>-89494</v>
      </c>
    </row>
    <row r="74" spans="1:16">
      <c r="A74" s="3" t="s">
        <v>113</v>
      </c>
      <c r="B74" s="4">
        <v>46122</v>
      </c>
      <c r="C74" s="3" t="s">
        <v>30</v>
      </c>
      <c r="D74" s="3" t="s">
        <v>18</v>
      </c>
      <c r="E74" s="3" t="s">
        <v>19</v>
      </c>
      <c r="F74" s="3">
        <v>3044</v>
      </c>
      <c r="G74" s="3">
        <v>2878</v>
      </c>
      <c r="H74" s="3" t="s">
        <v>20</v>
      </c>
      <c r="I74" s="3" t="s">
        <v>27</v>
      </c>
      <c r="J74" s="6" t="s">
        <v>28</v>
      </c>
      <c r="K74" s="2">
        <v>2026</v>
      </c>
      <c r="L74" s="3">
        <f t="shared" si="5"/>
        <v>166</v>
      </c>
      <c r="M74" s="3">
        <f t="shared" si="6"/>
        <v>108</v>
      </c>
      <c r="N74" s="3">
        <f t="shared" si="7"/>
        <v>178871</v>
      </c>
      <c r="O74" s="3">
        <f t="shared" si="8"/>
        <v>264510</v>
      </c>
      <c r="P74" s="3">
        <f t="shared" si="9"/>
        <v>-85639</v>
      </c>
    </row>
    <row r="75" spans="1:16">
      <c r="A75" s="3" t="s">
        <v>114</v>
      </c>
      <c r="B75" s="4">
        <v>46151</v>
      </c>
      <c r="C75" s="3" t="s">
        <v>17</v>
      </c>
      <c r="D75" s="3" t="s">
        <v>18</v>
      </c>
      <c r="E75" s="3" t="s">
        <v>19</v>
      </c>
      <c r="F75" s="3">
        <v>5500</v>
      </c>
      <c r="G75" s="3">
        <v>5950</v>
      </c>
      <c r="H75" s="3" t="s">
        <v>32</v>
      </c>
      <c r="I75" s="3" t="s">
        <v>21</v>
      </c>
      <c r="J75" s="6" t="s">
        <v>33</v>
      </c>
      <c r="K75" s="2">
        <v>2026</v>
      </c>
      <c r="L75" s="3">
        <f t="shared" si="5"/>
        <v>-450</v>
      </c>
      <c r="M75" s="3">
        <f t="shared" si="6"/>
        <v>107</v>
      </c>
      <c r="N75" s="3">
        <f t="shared" si="7"/>
        <v>178871</v>
      </c>
      <c r="O75" s="3">
        <f t="shared" si="8"/>
        <v>261466</v>
      </c>
      <c r="P75" s="3">
        <f t="shared" si="9"/>
        <v>-82595</v>
      </c>
    </row>
    <row r="76" spans="1:16">
      <c r="A76" s="3" t="s">
        <v>115</v>
      </c>
      <c r="B76" s="4">
        <v>46057</v>
      </c>
      <c r="C76" s="3" t="s">
        <v>17</v>
      </c>
      <c r="D76" s="3" t="s">
        <v>50</v>
      </c>
      <c r="E76" s="3" t="s">
        <v>19</v>
      </c>
      <c r="F76" s="3">
        <v>301</v>
      </c>
      <c r="G76" s="3">
        <v>263</v>
      </c>
      <c r="H76" s="3" t="s">
        <v>32</v>
      </c>
      <c r="I76" s="3" t="s">
        <v>27</v>
      </c>
      <c r="J76" s="6" t="s">
        <v>48</v>
      </c>
      <c r="K76" s="2">
        <v>2026</v>
      </c>
      <c r="L76" s="3">
        <f t="shared" si="5"/>
        <v>38</v>
      </c>
      <c r="M76" s="3">
        <f t="shared" si="6"/>
        <v>106</v>
      </c>
      <c r="N76" s="3">
        <f t="shared" si="7"/>
        <v>178871</v>
      </c>
      <c r="O76" s="3">
        <f t="shared" si="8"/>
        <v>255966</v>
      </c>
      <c r="P76" s="3">
        <f t="shared" si="9"/>
        <v>-77095</v>
      </c>
    </row>
    <row r="77" spans="1:16">
      <c r="A77" s="3" t="s">
        <v>116</v>
      </c>
      <c r="B77" s="4">
        <v>46146</v>
      </c>
      <c r="C77" s="3" t="s">
        <v>24</v>
      </c>
      <c r="D77" s="3" t="s">
        <v>50</v>
      </c>
      <c r="E77" s="3" t="s">
        <v>19</v>
      </c>
      <c r="F77" s="3">
        <v>1341</v>
      </c>
      <c r="G77" s="3">
        <v>1463</v>
      </c>
      <c r="H77" s="3" t="s">
        <v>26</v>
      </c>
      <c r="I77" s="3" t="s">
        <v>21</v>
      </c>
      <c r="J77" s="6" t="s">
        <v>33</v>
      </c>
      <c r="K77" s="2">
        <v>2026</v>
      </c>
      <c r="L77" s="3">
        <f t="shared" si="5"/>
        <v>-122</v>
      </c>
      <c r="M77" s="3">
        <f t="shared" si="6"/>
        <v>105</v>
      </c>
      <c r="N77" s="3">
        <f t="shared" si="7"/>
        <v>178871</v>
      </c>
      <c r="O77" s="3">
        <f t="shared" si="8"/>
        <v>255665</v>
      </c>
      <c r="P77" s="3">
        <f t="shared" si="9"/>
        <v>-76794</v>
      </c>
    </row>
    <row r="78" spans="1:16">
      <c r="A78" s="3" t="s">
        <v>117</v>
      </c>
      <c r="B78" s="4">
        <v>46089</v>
      </c>
      <c r="C78" s="3" t="s">
        <v>37</v>
      </c>
      <c r="D78" s="3" t="s">
        <v>35</v>
      </c>
      <c r="E78" s="3" t="s">
        <v>19</v>
      </c>
      <c r="F78" s="3">
        <v>3562</v>
      </c>
      <c r="G78" s="3">
        <v>3543</v>
      </c>
      <c r="H78" s="3" t="s">
        <v>20</v>
      </c>
      <c r="I78" s="3" t="s">
        <v>39</v>
      </c>
      <c r="J78" s="6" t="s">
        <v>22</v>
      </c>
      <c r="K78" s="2">
        <v>2026</v>
      </c>
      <c r="L78" s="3">
        <f t="shared" si="5"/>
        <v>19</v>
      </c>
      <c r="M78" s="3">
        <f t="shared" si="6"/>
        <v>104</v>
      </c>
      <c r="N78" s="3">
        <f t="shared" si="7"/>
        <v>178871</v>
      </c>
      <c r="O78" s="3">
        <f t="shared" si="8"/>
        <v>254324</v>
      </c>
      <c r="P78" s="3">
        <f t="shared" si="9"/>
        <v>-75453</v>
      </c>
    </row>
    <row r="79" spans="1:16">
      <c r="A79" s="3" t="s">
        <v>118</v>
      </c>
      <c r="B79" s="4">
        <v>46052</v>
      </c>
      <c r="C79" s="3" t="s">
        <v>30</v>
      </c>
      <c r="D79" s="3" t="s">
        <v>18</v>
      </c>
      <c r="E79" s="3" t="s">
        <v>19</v>
      </c>
      <c r="F79" s="3">
        <v>4451</v>
      </c>
      <c r="G79" s="3">
        <v>4262</v>
      </c>
      <c r="H79" s="3" t="s">
        <v>20</v>
      </c>
      <c r="I79" s="3" t="s">
        <v>39</v>
      </c>
      <c r="J79" s="6" t="s">
        <v>42</v>
      </c>
      <c r="K79" s="2">
        <v>2026</v>
      </c>
      <c r="L79" s="3">
        <f t="shared" si="5"/>
        <v>189</v>
      </c>
      <c r="M79" s="3">
        <f t="shared" si="6"/>
        <v>103</v>
      </c>
      <c r="N79" s="3">
        <f t="shared" si="7"/>
        <v>178871</v>
      </c>
      <c r="O79" s="3">
        <f t="shared" si="8"/>
        <v>250762</v>
      </c>
      <c r="P79" s="3">
        <f t="shared" si="9"/>
        <v>-71891</v>
      </c>
    </row>
    <row r="80" spans="1:16">
      <c r="A80" s="3" t="s">
        <v>119</v>
      </c>
      <c r="B80" s="4">
        <v>46154</v>
      </c>
      <c r="C80" s="3" t="s">
        <v>37</v>
      </c>
      <c r="D80" s="3" t="s">
        <v>69</v>
      </c>
      <c r="E80" s="3" t="s">
        <v>19</v>
      </c>
      <c r="F80" s="3">
        <v>4116</v>
      </c>
      <c r="G80" s="3">
        <v>3941</v>
      </c>
      <c r="H80" s="3" t="s">
        <v>20</v>
      </c>
      <c r="I80" s="3" t="s">
        <v>39</v>
      </c>
      <c r="J80" s="6" t="s">
        <v>33</v>
      </c>
      <c r="K80" s="2">
        <v>2026</v>
      </c>
      <c r="L80" s="3">
        <f t="shared" si="5"/>
        <v>175</v>
      </c>
      <c r="M80" s="3">
        <f t="shared" si="6"/>
        <v>102</v>
      </c>
      <c r="N80" s="3">
        <f t="shared" si="7"/>
        <v>178871</v>
      </c>
      <c r="O80" s="3">
        <f t="shared" si="8"/>
        <v>246311</v>
      </c>
      <c r="P80" s="3">
        <f t="shared" si="9"/>
        <v>-67440</v>
      </c>
    </row>
    <row r="81" spans="1:16">
      <c r="A81" s="3" t="s">
        <v>120</v>
      </c>
      <c r="B81" s="4">
        <v>46120</v>
      </c>
      <c r="C81" s="3" t="s">
        <v>17</v>
      </c>
      <c r="D81" s="3" t="s">
        <v>31</v>
      </c>
      <c r="E81" s="3" t="s">
        <v>19</v>
      </c>
      <c r="F81" s="3">
        <v>4431</v>
      </c>
      <c r="G81" s="3">
        <v>5177</v>
      </c>
      <c r="H81" s="3" t="s">
        <v>20</v>
      </c>
      <c r="I81" s="3" t="s">
        <v>39</v>
      </c>
      <c r="J81" s="6" t="s">
        <v>28</v>
      </c>
      <c r="K81" s="2">
        <v>2026</v>
      </c>
      <c r="L81" s="3">
        <f t="shared" si="5"/>
        <v>-746</v>
      </c>
      <c r="M81" s="3">
        <f t="shared" si="6"/>
        <v>101</v>
      </c>
      <c r="N81" s="3">
        <f t="shared" si="7"/>
        <v>178871</v>
      </c>
      <c r="O81" s="3">
        <f t="shared" si="8"/>
        <v>242195</v>
      </c>
      <c r="P81" s="3">
        <f t="shared" si="9"/>
        <v>-63324</v>
      </c>
    </row>
    <row r="82" spans="1:16">
      <c r="A82" s="3" t="s">
        <v>121</v>
      </c>
      <c r="B82" s="4">
        <v>46164</v>
      </c>
      <c r="C82" s="3" t="s">
        <v>17</v>
      </c>
      <c r="D82" s="3" t="s">
        <v>31</v>
      </c>
      <c r="E82" s="3" t="s">
        <v>19</v>
      </c>
      <c r="F82" s="3">
        <v>987</v>
      </c>
      <c r="G82" s="3">
        <v>1112</v>
      </c>
      <c r="H82" s="3" t="s">
        <v>20</v>
      </c>
      <c r="I82" s="3" t="s">
        <v>27</v>
      </c>
      <c r="J82" s="6" t="s">
        <v>33</v>
      </c>
      <c r="K82" s="2">
        <v>2026</v>
      </c>
      <c r="L82" s="3">
        <f t="shared" si="5"/>
        <v>-125</v>
      </c>
      <c r="M82" s="3">
        <f t="shared" si="6"/>
        <v>100</v>
      </c>
      <c r="N82" s="3">
        <f t="shared" si="7"/>
        <v>178871</v>
      </c>
      <c r="O82" s="3">
        <f t="shared" si="8"/>
        <v>237764</v>
      </c>
      <c r="P82" s="3">
        <f t="shared" si="9"/>
        <v>-58893</v>
      </c>
    </row>
    <row r="83" spans="1:16">
      <c r="A83" s="3" t="s">
        <v>122</v>
      </c>
      <c r="B83" s="4">
        <v>46050</v>
      </c>
      <c r="C83" s="3" t="s">
        <v>30</v>
      </c>
      <c r="D83" s="3" t="s">
        <v>18</v>
      </c>
      <c r="E83" s="3" t="s">
        <v>19</v>
      </c>
      <c r="F83" s="3">
        <v>4109</v>
      </c>
      <c r="G83" s="3">
        <v>4380</v>
      </c>
      <c r="H83" s="3" t="s">
        <v>26</v>
      </c>
      <c r="I83" s="3" t="s">
        <v>27</v>
      </c>
      <c r="J83" s="6" t="s">
        <v>42</v>
      </c>
      <c r="K83" s="2">
        <v>2026</v>
      </c>
      <c r="L83" s="3">
        <f t="shared" si="5"/>
        <v>-271</v>
      </c>
      <c r="M83" s="3">
        <f t="shared" si="6"/>
        <v>99</v>
      </c>
      <c r="N83" s="3">
        <f t="shared" si="7"/>
        <v>178871</v>
      </c>
      <c r="O83" s="3">
        <f t="shared" si="8"/>
        <v>236777</v>
      </c>
      <c r="P83" s="3">
        <f t="shared" si="9"/>
        <v>-57906</v>
      </c>
    </row>
    <row r="84" spans="1:16">
      <c r="A84" s="3" t="s">
        <v>123</v>
      </c>
      <c r="B84" s="4">
        <v>46134</v>
      </c>
      <c r="C84" s="3" t="s">
        <v>24</v>
      </c>
      <c r="D84" s="3" t="s">
        <v>17</v>
      </c>
      <c r="E84" s="3" t="s">
        <v>25</v>
      </c>
      <c r="F84" s="3">
        <v>11070</v>
      </c>
      <c r="G84" s="3">
        <v>9480</v>
      </c>
      <c r="H84" s="3" t="s">
        <v>32</v>
      </c>
      <c r="I84" s="3" t="s">
        <v>21</v>
      </c>
      <c r="J84" s="6" t="s">
        <v>28</v>
      </c>
      <c r="K84" s="2">
        <v>2026</v>
      </c>
      <c r="L84" s="3">
        <f t="shared" si="5"/>
        <v>1590</v>
      </c>
      <c r="M84" s="3">
        <f t="shared" si="6"/>
        <v>98</v>
      </c>
      <c r="N84" s="3">
        <f t="shared" si="7"/>
        <v>178871</v>
      </c>
      <c r="O84" s="3">
        <f t="shared" si="8"/>
        <v>232668</v>
      </c>
      <c r="P84" s="3">
        <f t="shared" si="9"/>
        <v>-53797</v>
      </c>
    </row>
    <row r="85" spans="1:16">
      <c r="A85" s="3" t="s">
        <v>124</v>
      </c>
      <c r="B85" s="4">
        <v>46044</v>
      </c>
      <c r="C85" s="3" t="s">
        <v>24</v>
      </c>
      <c r="D85" s="3" t="s">
        <v>69</v>
      </c>
      <c r="E85" s="3" t="s">
        <v>19</v>
      </c>
      <c r="F85" s="3">
        <v>736</v>
      </c>
      <c r="G85" s="3">
        <v>766</v>
      </c>
      <c r="H85" s="3" t="s">
        <v>26</v>
      </c>
      <c r="I85" s="3" t="s">
        <v>27</v>
      </c>
      <c r="J85" s="6" t="s">
        <v>42</v>
      </c>
      <c r="K85" s="2">
        <v>2026</v>
      </c>
      <c r="L85" s="3">
        <f t="shared" si="5"/>
        <v>-30</v>
      </c>
      <c r="M85" s="3">
        <f t="shared" si="6"/>
        <v>97</v>
      </c>
      <c r="N85" s="3">
        <f t="shared" si="7"/>
        <v>167801</v>
      </c>
      <c r="O85" s="3">
        <f t="shared" si="8"/>
        <v>232668</v>
      </c>
      <c r="P85" s="3">
        <f t="shared" si="9"/>
        <v>-64867</v>
      </c>
    </row>
    <row r="86" spans="1:16">
      <c r="A86" s="3" t="s">
        <v>125</v>
      </c>
      <c r="B86" s="4">
        <v>46162</v>
      </c>
      <c r="C86" s="3" t="s">
        <v>17</v>
      </c>
      <c r="D86" s="3" t="s">
        <v>69</v>
      </c>
      <c r="E86" s="3" t="s">
        <v>19</v>
      </c>
      <c r="F86" s="3">
        <v>166</v>
      </c>
      <c r="G86" s="3">
        <v>190</v>
      </c>
      <c r="H86" s="3" t="s">
        <v>32</v>
      </c>
      <c r="I86" s="3" t="s">
        <v>39</v>
      </c>
      <c r="J86" s="6" t="s">
        <v>33</v>
      </c>
      <c r="K86" s="2">
        <v>2026</v>
      </c>
      <c r="L86" s="3">
        <f t="shared" si="5"/>
        <v>-24</v>
      </c>
      <c r="M86" s="3">
        <f t="shared" si="6"/>
        <v>96</v>
      </c>
      <c r="N86" s="3">
        <f t="shared" si="7"/>
        <v>167801</v>
      </c>
      <c r="O86" s="3">
        <f t="shared" si="8"/>
        <v>231932</v>
      </c>
      <c r="P86" s="3">
        <f t="shared" si="9"/>
        <v>-64131</v>
      </c>
    </row>
    <row r="87" spans="1:16">
      <c r="A87" s="3" t="s">
        <v>126</v>
      </c>
      <c r="B87" s="4">
        <v>46108</v>
      </c>
      <c r="C87" s="3" t="s">
        <v>17</v>
      </c>
      <c r="D87" s="3" t="s">
        <v>17</v>
      </c>
      <c r="E87" s="3" t="s">
        <v>25</v>
      </c>
      <c r="F87" s="3">
        <v>3581</v>
      </c>
      <c r="G87" s="3">
        <v>3610</v>
      </c>
      <c r="H87" s="3" t="s">
        <v>32</v>
      </c>
      <c r="I87" s="3" t="s">
        <v>39</v>
      </c>
      <c r="J87" s="6" t="s">
        <v>22</v>
      </c>
      <c r="K87" s="2">
        <v>2026</v>
      </c>
      <c r="L87" s="3">
        <f t="shared" si="5"/>
        <v>-29</v>
      </c>
      <c r="M87" s="3">
        <f t="shared" si="6"/>
        <v>95</v>
      </c>
      <c r="N87" s="3">
        <f t="shared" si="7"/>
        <v>167801</v>
      </c>
      <c r="O87" s="3">
        <f t="shared" si="8"/>
        <v>231766</v>
      </c>
      <c r="P87" s="3">
        <f t="shared" si="9"/>
        <v>-63965</v>
      </c>
    </row>
    <row r="88" spans="1:16">
      <c r="A88" s="3" t="s">
        <v>127</v>
      </c>
      <c r="B88" s="4">
        <v>46127</v>
      </c>
      <c r="C88" s="3" t="s">
        <v>24</v>
      </c>
      <c r="D88" s="3" t="s">
        <v>50</v>
      </c>
      <c r="E88" s="3" t="s">
        <v>19</v>
      </c>
      <c r="F88" s="3">
        <v>2392</v>
      </c>
      <c r="G88" s="3">
        <v>2702</v>
      </c>
      <c r="H88" s="3" t="s">
        <v>26</v>
      </c>
      <c r="I88" s="3" t="s">
        <v>39</v>
      </c>
      <c r="J88" s="6" t="s">
        <v>28</v>
      </c>
      <c r="K88" s="2">
        <v>2026</v>
      </c>
      <c r="L88" s="3">
        <f t="shared" si="5"/>
        <v>-310</v>
      </c>
      <c r="M88" s="3">
        <f t="shared" si="6"/>
        <v>94</v>
      </c>
      <c r="N88" s="3">
        <f t="shared" si="7"/>
        <v>164220</v>
      </c>
      <c r="O88" s="3">
        <f t="shared" si="8"/>
        <v>231766</v>
      </c>
      <c r="P88" s="3">
        <f t="shared" si="9"/>
        <v>-67546</v>
      </c>
    </row>
    <row r="89" spans="1:16">
      <c r="A89" s="3" t="s">
        <v>128</v>
      </c>
      <c r="B89" s="4">
        <v>46096</v>
      </c>
      <c r="C89" s="3" t="s">
        <v>17</v>
      </c>
      <c r="D89" s="3" t="s">
        <v>17</v>
      </c>
      <c r="E89" s="3" t="s">
        <v>25</v>
      </c>
      <c r="F89" s="3">
        <v>13104</v>
      </c>
      <c r="G89" s="3">
        <v>13860</v>
      </c>
      <c r="H89" s="3" t="s">
        <v>20</v>
      </c>
      <c r="I89" s="3" t="s">
        <v>27</v>
      </c>
      <c r="J89" s="6" t="s">
        <v>22</v>
      </c>
      <c r="K89" s="2">
        <v>2026</v>
      </c>
      <c r="L89" s="3">
        <f t="shared" si="5"/>
        <v>-756</v>
      </c>
      <c r="M89" s="3">
        <f t="shared" si="6"/>
        <v>93</v>
      </c>
      <c r="N89" s="3">
        <f t="shared" si="7"/>
        <v>164220</v>
      </c>
      <c r="O89" s="3">
        <f t="shared" si="8"/>
        <v>229374</v>
      </c>
      <c r="P89" s="3">
        <f t="shared" si="9"/>
        <v>-65154</v>
      </c>
    </row>
    <row r="90" spans="1:16">
      <c r="A90" s="3" t="s">
        <v>129</v>
      </c>
      <c r="B90" s="4">
        <v>46033</v>
      </c>
      <c r="C90" s="3" t="s">
        <v>30</v>
      </c>
      <c r="D90" s="3" t="s">
        <v>47</v>
      </c>
      <c r="E90" s="3" t="s">
        <v>25</v>
      </c>
      <c r="F90" s="3">
        <v>4962</v>
      </c>
      <c r="G90" s="3">
        <v>5670</v>
      </c>
      <c r="H90" s="3" t="s">
        <v>20</v>
      </c>
      <c r="I90" s="3" t="s">
        <v>27</v>
      </c>
      <c r="J90" s="6" t="s">
        <v>42</v>
      </c>
      <c r="K90" s="2">
        <v>2026</v>
      </c>
      <c r="L90" s="3">
        <f t="shared" si="5"/>
        <v>-708</v>
      </c>
      <c r="M90" s="3">
        <f t="shared" si="6"/>
        <v>92</v>
      </c>
      <c r="N90" s="3">
        <f t="shared" si="7"/>
        <v>151116</v>
      </c>
      <c r="O90" s="3">
        <f t="shared" si="8"/>
        <v>229374</v>
      </c>
      <c r="P90" s="3">
        <f t="shared" si="9"/>
        <v>-78258</v>
      </c>
    </row>
    <row r="91" spans="1:16">
      <c r="A91" s="3" t="s">
        <v>130</v>
      </c>
      <c r="B91" s="4">
        <v>46057</v>
      </c>
      <c r="C91" s="3" t="s">
        <v>30</v>
      </c>
      <c r="D91" s="3" t="s">
        <v>35</v>
      </c>
      <c r="E91" s="3" t="s">
        <v>19</v>
      </c>
      <c r="F91" s="3">
        <v>4224</v>
      </c>
      <c r="G91" s="3">
        <v>4378</v>
      </c>
      <c r="H91" s="3" t="s">
        <v>26</v>
      </c>
      <c r="I91" s="3" t="s">
        <v>21</v>
      </c>
      <c r="J91" s="6" t="s">
        <v>48</v>
      </c>
      <c r="K91" s="2">
        <v>2026</v>
      </c>
      <c r="L91" s="3">
        <f t="shared" si="5"/>
        <v>-154</v>
      </c>
      <c r="M91" s="3">
        <f t="shared" si="6"/>
        <v>91</v>
      </c>
      <c r="N91" s="3">
        <f t="shared" si="7"/>
        <v>146154</v>
      </c>
      <c r="O91" s="3">
        <f t="shared" si="8"/>
        <v>229374</v>
      </c>
      <c r="P91" s="3">
        <f t="shared" si="9"/>
        <v>-83220</v>
      </c>
    </row>
    <row r="92" spans="1:16">
      <c r="A92" s="3" t="s">
        <v>131</v>
      </c>
      <c r="B92" s="4">
        <v>46126</v>
      </c>
      <c r="C92" s="3" t="s">
        <v>17</v>
      </c>
      <c r="D92" s="3" t="s">
        <v>31</v>
      </c>
      <c r="E92" s="3" t="s">
        <v>19</v>
      </c>
      <c r="F92" s="3">
        <v>259</v>
      </c>
      <c r="G92" s="3">
        <v>280</v>
      </c>
      <c r="H92" s="3" t="s">
        <v>32</v>
      </c>
      <c r="I92" s="3" t="s">
        <v>27</v>
      </c>
      <c r="J92" s="6" t="s">
        <v>28</v>
      </c>
      <c r="K92" s="2">
        <v>2026</v>
      </c>
      <c r="L92" s="3">
        <f t="shared" si="5"/>
        <v>-21</v>
      </c>
      <c r="M92" s="3">
        <f t="shared" si="6"/>
        <v>90</v>
      </c>
      <c r="N92" s="3">
        <f t="shared" si="7"/>
        <v>146154</v>
      </c>
      <c r="O92" s="3">
        <f t="shared" si="8"/>
        <v>225150</v>
      </c>
      <c r="P92" s="3">
        <f t="shared" si="9"/>
        <v>-78996</v>
      </c>
    </row>
    <row r="93" spans="1:16">
      <c r="A93" s="3" t="s">
        <v>132</v>
      </c>
      <c r="B93" s="4">
        <v>46202</v>
      </c>
      <c r="C93" s="3" t="s">
        <v>17</v>
      </c>
      <c r="D93" s="3" t="s">
        <v>18</v>
      </c>
      <c r="E93" s="3" t="s">
        <v>19</v>
      </c>
      <c r="F93" s="3">
        <v>2772</v>
      </c>
      <c r="G93" s="3">
        <v>3085</v>
      </c>
      <c r="H93" s="3" t="s">
        <v>20</v>
      </c>
      <c r="I93" s="3" t="s">
        <v>21</v>
      </c>
      <c r="J93" s="6" t="s">
        <v>40</v>
      </c>
      <c r="K93" s="2">
        <v>2026</v>
      </c>
      <c r="L93" s="3">
        <f t="shared" si="5"/>
        <v>-313</v>
      </c>
      <c r="M93" s="3">
        <f t="shared" si="6"/>
        <v>89</v>
      </c>
      <c r="N93" s="3">
        <f t="shared" si="7"/>
        <v>146154</v>
      </c>
      <c r="O93" s="3">
        <f t="shared" si="8"/>
        <v>224891</v>
      </c>
      <c r="P93" s="3">
        <f t="shared" si="9"/>
        <v>-78737</v>
      </c>
    </row>
    <row r="94" spans="1:16">
      <c r="A94" s="3" t="s">
        <v>133</v>
      </c>
      <c r="B94" s="4">
        <v>46134</v>
      </c>
      <c r="C94" s="3" t="s">
        <v>37</v>
      </c>
      <c r="D94" s="3" t="s">
        <v>69</v>
      </c>
      <c r="E94" s="3" t="s">
        <v>19</v>
      </c>
      <c r="F94" s="3">
        <v>1788</v>
      </c>
      <c r="G94" s="3">
        <v>1625</v>
      </c>
      <c r="H94" s="3" t="s">
        <v>26</v>
      </c>
      <c r="I94" s="3" t="s">
        <v>21</v>
      </c>
      <c r="J94" s="6" t="s">
        <v>28</v>
      </c>
      <c r="K94" s="2">
        <v>2026</v>
      </c>
      <c r="L94" s="3">
        <f t="shared" si="5"/>
        <v>163</v>
      </c>
      <c r="M94" s="3">
        <f t="shared" si="6"/>
        <v>88</v>
      </c>
      <c r="N94" s="3">
        <f t="shared" si="7"/>
        <v>146154</v>
      </c>
      <c r="O94" s="3">
        <f t="shared" si="8"/>
        <v>222119</v>
      </c>
      <c r="P94" s="3">
        <f t="shared" si="9"/>
        <v>-75965</v>
      </c>
    </row>
    <row r="95" spans="1:16">
      <c r="A95" s="3" t="s">
        <v>134</v>
      </c>
      <c r="B95" s="4">
        <v>46097</v>
      </c>
      <c r="C95" s="3" t="s">
        <v>17</v>
      </c>
      <c r="D95" s="3" t="s">
        <v>38</v>
      </c>
      <c r="E95" s="3" t="s">
        <v>19</v>
      </c>
      <c r="F95" s="3">
        <v>870</v>
      </c>
      <c r="G95" s="3">
        <v>926</v>
      </c>
      <c r="H95" s="3" t="s">
        <v>32</v>
      </c>
      <c r="I95" s="3" t="s">
        <v>21</v>
      </c>
      <c r="J95" s="6" t="s">
        <v>22</v>
      </c>
      <c r="K95" s="2">
        <v>2026</v>
      </c>
      <c r="L95" s="3">
        <f t="shared" si="5"/>
        <v>-56</v>
      </c>
      <c r="M95" s="3">
        <f t="shared" si="6"/>
        <v>87</v>
      </c>
      <c r="N95" s="3">
        <f t="shared" si="7"/>
        <v>146154</v>
      </c>
      <c r="O95" s="3">
        <f t="shared" si="8"/>
        <v>220331</v>
      </c>
      <c r="P95" s="3">
        <f t="shared" si="9"/>
        <v>-74177</v>
      </c>
    </row>
    <row r="96" spans="1:16">
      <c r="A96" s="3" t="s">
        <v>135</v>
      </c>
      <c r="B96" s="4">
        <v>46033</v>
      </c>
      <c r="C96" s="3" t="s">
        <v>37</v>
      </c>
      <c r="D96" s="3" t="s">
        <v>38</v>
      </c>
      <c r="E96" s="3" t="s">
        <v>19</v>
      </c>
      <c r="F96" s="3">
        <v>4738</v>
      </c>
      <c r="G96" s="3">
        <v>4529</v>
      </c>
      <c r="H96" s="3" t="s">
        <v>32</v>
      </c>
      <c r="I96" s="3" t="s">
        <v>27</v>
      </c>
      <c r="J96" s="6" t="s">
        <v>42</v>
      </c>
      <c r="K96" s="2">
        <v>2026</v>
      </c>
      <c r="L96" s="3">
        <f t="shared" si="5"/>
        <v>209</v>
      </c>
      <c r="M96" s="3">
        <f t="shared" si="6"/>
        <v>86</v>
      </c>
      <c r="N96" s="3">
        <f t="shared" si="7"/>
        <v>146154</v>
      </c>
      <c r="O96" s="3">
        <f t="shared" si="8"/>
        <v>219461</v>
      </c>
      <c r="P96" s="3">
        <f t="shared" si="9"/>
        <v>-73307</v>
      </c>
    </row>
    <row r="97" spans="1:16">
      <c r="A97" s="3" t="s">
        <v>136</v>
      </c>
      <c r="B97" s="4">
        <v>46058</v>
      </c>
      <c r="C97" s="3" t="s">
        <v>30</v>
      </c>
      <c r="D97" s="3" t="s">
        <v>38</v>
      </c>
      <c r="E97" s="3" t="s">
        <v>19</v>
      </c>
      <c r="F97" s="3">
        <v>571</v>
      </c>
      <c r="G97" s="3">
        <v>668</v>
      </c>
      <c r="H97" s="3" t="s">
        <v>26</v>
      </c>
      <c r="I97" s="3" t="s">
        <v>27</v>
      </c>
      <c r="J97" s="6" t="s">
        <v>48</v>
      </c>
      <c r="K97" s="2">
        <v>2026</v>
      </c>
      <c r="L97" s="3">
        <f t="shared" si="5"/>
        <v>-97</v>
      </c>
      <c r="M97" s="3">
        <f t="shared" si="6"/>
        <v>85</v>
      </c>
      <c r="N97" s="3">
        <f t="shared" si="7"/>
        <v>146154</v>
      </c>
      <c r="O97" s="3">
        <f t="shared" si="8"/>
        <v>214723</v>
      </c>
      <c r="P97" s="3">
        <f t="shared" si="9"/>
        <v>-68569</v>
      </c>
    </row>
    <row r="98" spans="1:16">
      <c r="A98" s="3" t="s">
        <v>137</v>
      </c>
      <c r="B98" s="4">
        <v>46054</v>
      </c>
      <c r="C98" s="3" t="s">
        <v>37</v>
      </c>
      <c r="D98" s="3" t="s">
        <v>31</v>
      </c>
      <c r="E98" s="3" t="s">
        <v>19</v>
      </c>
      <c r="F98" s="3">
        <v>815</v>
      </c>
      <c r="G98" s="3">
        <v>966</v>
      </c>
      <c r="H98" s="3" t="s">
        <v>26</v>
      </c>
      <c r="I98" s="3" t="s">
        <v>39</v>
      </c>
      <c r="J98" s="6" t="s">
        <v>48</v>
      </c>
      <c r="K98" s="2">
        <v>2026</v>
      </c>
      <c r="L98" s="3">
        <f t="shared" si="5"/>
        <v>-151</v>
      </c>
      <c r="M98" s="3">
        <f t="shared" si="6"/>
        <v>84</v>
      </c>
      <c r="N98" s="3">
        <f t="shared" si="7"/>
        <v>146154</v>
      </c>
      <c r="O98" s="3">
        <f t="shared" si="8"/>
        <v>214152</v>
      </c>
      <c r="P98" s="3">
        <f t="shared" si="9"/>
        <v>-67998</v>
      </c>
    </row>
    <row r="99" spans="1:16">
      <c r="A99" s="3" t="s">
        <v>138</v>
      </c>
      <c r="B99" s="4">
        <v>46196</v>
      </c>
      <c r="C99" s="3" t="s">
        <v>37</v>
      </c>
      <c r="D99" s="3" t="s">
        <v>69</v>
      </c>
      <c r="E99" s="3" t="s">
        <v>19</v>
      </c>
      <c r="F99" s="3">
        <v>2889</v>
      </c>
      <c r="G99" s="3">
        <v>3465</v>
      </c>
      <c r="H99" s="3" t="s">
        <v>32</v>
      </c>
      <c r="I99" s="3" t="s">
        <v>39</v>
      </c>
      <c r="J99" s="6" t="s">
        <v>40</v>
      </c>
      <c r="K99" s="2">
        <v>2026</v>
      </c>
      <c r="L99" s="3">
        <f t="shared" si="5"/>
        <v>-576</v>
      </c>
      <c r="M99" s="3">
        <f t="shared" si="6"/>
        <v>83</v>
      </c>
      <c r="N99" s="3">
        <f t="shared" si="7"/>
        <v>146154</v>
      </c>
      <c r="O99" s="3">
        <f t="shared" si="8"/>
        <v>213337</v>
      </c>
      <c r="P99" s="3">
        <f t="shared" si="9"/>
        <v>-67183</v>
      </c>
    </row>
    <row r="100" spans="1:16">
      <c r="A100" s="3" t="s">
        <v>139</v>
      </c>
      <c r="B100" s="4">
        <v>46104</v>
      </c>
      <c r="C100" s="3" t="s">
        <v>17</v>
      </c>
      <c r="D100" s="3" t="s">
        <v>38</v>
      </c>
      <c r="E100" s="3" t="s">
        <v>19</v>
      </c>
      <c r="F100" s="3">
        <v>2862</v>
      </c>
      <c r="G100" s="3">
        <v>2484</v>
      </c>
      <c r="H100" s="3" t="s">
        <v>26</v>
      </c>
      <c r="I100" s="3" t="s">
        <v>27</v>
      </c>
      <c r="J100" s="6" t="s">
        <v>22</v>
      </c>
      <c r="K100" s="2">
        <v>2026</v>
      </c>
      <c r="L100" s="3">
        <f t="shared" si="5"/>
        <v>378</v>
      </c>
      <c r="M100" s="3">
        <f t="shared" si="6"/>
        <v>82</v>
      </c>
      <c r="N100" s="3">
        <f t="shared" si="7"/>
        <v>146154</v>
      </c>
      <c r="O100" s="3">
        <f t="shared" si="8"/>
        <v>210448</v>
      </c>
      <c r="P100" s="3">
        <f t="shared" si="9"/>
        <v>-64294</v>
      </c>
    </row>
    <row r="101" spans="1:16">
      <c r="A101" s="3" t="s">
        <v>140</v>
      </c>
      <c r="B101" s="4">
        <v>46075</v>
      </c>
      <c r="C101" s="3" t="s">
        <v>37</v>
      </c>
      <c r="D101" s="3" t="s">
        <v>18</v>
      </c>
      <c r="E101" s="3" t="s">
        <v>19</v>
      </c>
      <c r="F101" s="3">
        <v>1896</v>
      </c>
      <c r="G101" s="3">
        <v>2023</v>
      </c>
      <c r="H101" s="3" t="s">
        <v>26</v>
      </c>
      <c r="I101" s="3" t="s">
        <v>21</v>
      </c>
      <c r="J101" s="6" t="s">
        <v>48</v>
      </c>
      <c r="K101" s="2">
        <v>2026</v>
      </c>
      <c r="L101" s="3">
        <f t="shared" si="5"/>
        <v>-127</v>
      </c>
      <c r="M101" s="3">
        <f t="shared" si="6"/>
        <v>81</v>
      </c>
      <c r="N101" s="3">
        <f t="shared" si="7"/>
        <v>146154</v>
      </c>
      <c r="O101" s="3">
        <f t="shared" si="8"/>
        <v>207586</v>
      </c>
      <c r="P101" s="3">
        <f t="shared" si="9"/>
        <v>-61432</v>
      </c>
    </row>
    <row r="102" spans="1:16">
      <c r="A102" s="3" t="s">
        <v>141</v>
      </c>
      <c r="B102" s="4">
        <v>46064</v>
      </c>
      <c r="C102" s="3" t="s">
        <v>24</v>
      </c>
      <c r="D102" s="3" t="s">
        <v>18</v>
      </c>
      <c r="E102" s="3" t="s">
        <v>19</v>
      </c>
      <c r="F102" s="3">
        <v>4313</v>
      </c>
      <c r="G102" s="3">
        <v>3971</v>
      </c>
      <c r="H102" s="3" t="s">
        <v>26</v>
      </c>
      <c r="I102" s="3" t="s">
        <v>21</v>
      </c>
      <c r="J102" s="6" t="s">
        <v>48</v>
      </c>
      <c r="K102" s="2">
        <v>2026</v>
      </c>
      <c r="L102" s="3">
        <f t="shared" si="5"/>
        <v>342</v>
      </c>
      <c r="M102" s="3">
        <f t="shared" si="6"/>
        <v>80</v>
      </c>
      <c r="N102" s="3">
        <f t="shared" si="7"/>
        <v>146154</v>
      </c>
      <c r="O102" s="3">
        <f t="shared" si="8"/>
        <v>205690</v>
      </c>
      <c r="P102" s="3">
        <f t="shared" si="9"/>
        <v>-59536</v>
      </c>
    </row>
    <row r="103" spans="1:16">
      <c r="A103" s="3" t="s">
        <v>142</v>
      </c>
      <c r="B103" s="4">
        <v>46071</v>
      </c>
      <c r="C103" s="3" t="s">
        <v>30</v>
      </c>
      <c r="D103" s="3" t="s">
        <v>38</v>
      </c>
      <c r="E103" s="3" t="s">
        <v>19</v>
      </c>
      <c r="F103" s="3">
        <v>5653</v>
      </c>
      <c r="G103" s="3">
        <v>5071</v>
      </c>
      <c r="H103" s="3" t="s">
        <v>26</v>
      </c>
      <c r="I103" s="3" t="s">
        <v>21</v>
      </c>
      <c r="J103" s="6" t="s">
        <v>48</v>
      </c>
      <c r="K103" s="2">
        <v>2026</v>
      </c>
      <c r="L103" s="3">
        <f t="shared" si="5"/>
        <v>582</v>
      </c>
      <c r="M103" s="3">
        <f t="shared" si="6"/>
        <v>79</v>
      </c>
      <c r="N103" s="3">
        <f t="shared" si="7"/>
        <v>146154</v>
      </c>
      <c r="O103" s="3">
        <f t="shared" si="8"/>
        <v>201377</v>
      </c>
      <c r="P103" s="3">
        <f t="shared" si="9"/>
        <v>-55223</v>
      </c>
    </row>
    <row r="104" spans="1:16">
      <c r="A104" s="3" t="s">
        <v>143</v>
      </c>
      <c r="B104" s="4">
        <v>46062</v>
      </c>
      <c r="C104" s="3" t="s">
        <v>24</v>
      </c>
      <c r="D104" s="3" t="s">
        <v>18</v>
      </c>
      <c r="E104" s="3" t="s">
        <v>19</v>
      </c>
      <c r="F104" s="3">
        <v>1039</v>
      </c>
      <c r="G104" s="3">
        <v>956</v>
      </c>
      <c r="H104" s="3" t="s">
        <v>20</v>
      </c>
      <c r="I104" s="3" t="s">
        <v>39</v>
      </c>
      <c r="J104" s="6" t="s">
        <v>48</v>
      </c>
      <c r="K104" s="2">
        <v>2026</v>
      </c>
      <c r="L104" s="3">
        <f t="shared" si="5"/>
        <v>83</v>
      </c>
      <c r="M104" s="3">
        <f t="shared" si="6"/>
        <v>78</v>
      </c>
      <c r="N104" s="3">
        <f t="shared" si="7"/>
        <v>146154</v>
      </c>
      <c r="O104" s="3">
        <f t="shared" si="8"/>
        <v>195724</v>
      </c>
      <c r="P104" s="3">
        <f t="shared" si="9"/>
        <v>-49570</v>
      </c>
    </row>
    <row r="105" spans="1:16">
      <c r="A105" s="3" t="s">
        <v>144</v>
      </c>
      <c r="B105" s="4">
        <v>46182</v>
      </c>
      <c r="C105" s="3" t="s">
        <v>24</v>
      </c>
      <c r="D105" s="3" t="s">
        <v>50</v>
      </c>
      <c r="E105" s="3" t="s">
        <v>19</v>
      </c>
      <c r="F105" s="3">
        <v>678</v>
      </c>
      <c r="G105" s="3">
        <v>654</v>
      </c>
      <c r="H105" s="3" t="s">
        <v>26</v>
      </c>
      <c r="I105" s="3" t="s">
        <v>39</v>
      </c>
      <c r="J105" s="6" t="s">
        <v>40</v>
      </c>
      <c r="K105" s="2">
        <v>2026</v>
      </c>
      <c r="L105" s="3">
        <f t="shared" si="5"/>
        <v>24</v>
      </c>
      <c r="M105" s="3">
        <f t="shared" si="6"/>
        <v>77</v>
      </c>
      <c r="N105" s="3">
        <f t="shared" si="7"/>
        <v>146154</v>
      </c>
      <c r="O105" s="3">
        <f t="shared" si="8"/>
        <v>194685</v>
      </c>
      <c r="P105" s="3">
        <f t="shared" si="9"/>
        <v>-48531</v>
      </c>
    </row>
    <row r="106" spans="1:16">
      <c r="A106" s="3" t="s">
        <v>145</v>
      </c>
      <c r="B106" s="4">
        <v>46190</v>
      </c>
      <c r="C106" s="3" t="s">
        <v>30</v>
      </c>
      <c r="D106" s="3" t="s">
        <v>69</v>
      </c>
      <c r="E106" s="3" t="s">
        <v>19</v>
      </c>
      <c r="F106" s="3">
        <v>3308</v>
      </c>
      <c r="G106" s="3">
        <v>3863</v>
      </c>
      <c r="H106" s="3" t="s">
        <v>26</v>
      </c>
      <c r="I106" s="3" t="s">
        <v>27</v>
      </c>
      <c r="J106" s="6" t="s">
        <v>40</v>
      </c>
      <c r="K106" s="2">
        <v>2026</v>
      </c>
      <c r="L106" s="3">
        <f t="shared" si="5"/>
        <v>-555</v>
      </c>
      <c r="M106" s="3">
        <f t="shared" si="6"/>
        <v>76</v>
      </c>
      <c r="N106" s="3">
        <f t="shared" si="7"/>
        <v>146154</v>
      </c>
      <c r="O106" s="3">
        <f t="shared" si="8"/>
        <v>194007</v>
      </c>
      <c r="P106" s="3">
        <f t="shared" si="9"/>
        <v>-47853</v>
      </c>
    </row>
    <row r="107" spans="1:16">
      <c r="A107" s="3" t="s">
        <v>146</v>
      </c>
      <c r="B107" s="4">
        <v>46189</v>
      </c>
      <c r="C107" s="3" t="s">
        <v>30</v>
      </c>
      <c r="D107" s="3" t="s">
        <v>35</v>
      </c>
      <c r="E107" s="3" t="s">
        <v>19</v>
      </c>
      <c r="F107" s="3">
        <v>4828</v>
      </c>
      <c r="G107" s="3">
        <v>4347</v>
      </c>
      <c r="H107" s="3" t="s">
        <v>26</v>
      </c>
      <c r="I107" s="3" t="s">
        <v>21</v>
      </c>
      <c r="J107" s="6" t="s">
        <v>40</v>
      </c>
      <c r="K107" s="2">
        <v>2026</v>
      </c>
      <c r="L107" s="3">
        <f t="shared" si="5"/>
        <v>481</v>
      </c>
      <c r="M107" s="3">
        <f t="shared" si="6"/>
        <v>75</v>
      </c>
      <c r="N107" s="3">
        <f t="shared" si="7"/>
        <v>146154</v>
      </c>
      <c r="O107" s="3">
        <f t="shared" si="8"/>
        <v>190699</v>
      </c>
      <c r="P107" s="3">
        <f t="shared" si="9"/>
        <v>-44545</v>
      </c>
    </row>
    <row r="108" spans="1:16">
      <c r="A108" s="3" t="s">
        <v>147</v>
      </c>
      <c r="B108" s="4">
        <v>46034</v>
      </c>
      <c r="C108" s="3" t="s">
        <v>24</v>
      </c>
      <c r="D108" s="3" t="s">
        <v>35</v>
      </c>
      <c r="E108" s="3" t="s">
        <v>19</v>
      </c>
      <c r="F108" s="3">
        <v>2009</v>
      </c>
      <c r="G108" s="3">
        <v>2039</v>
      </c>
      <c r="H108" s="3" t="s">
        <v>26</v>
      </c>
      <c r="I108" s="3" t="s">
        <v>39</v>
      </c>
      <c r="J108" s="6" t="s">
        <v>42</v>
      </c>
      <c r="K108" s="2">
        <v>2026</v>
      </c>
      <c r="L108" s="3">
        <f t="shared" si="5"/>
        <v>-30</v>
      </c>
      <c r="M108" s="3">
        <f t="shared" si="6"/>
        <v>74</v>
      </c>
      <c r="N108" s="3">
        <f t="shared" si="7"/>
        <v>146154</v>
      </c>
      <c r="O108" s="3">
        <f t="shared" si="8"/>
        <v>185871</v>
      </c>
      <c r="P108" s="3">
        <f t="shared" si="9"/>
        <v>-39717</v>
      </c>
    </row>
    <row r="109" spans="1:16">
      <c r="A109" s="3" t="s">
        <v>148</v>
      </c>
      <c r="B109" s="4">
        <v>46045</v>
      </c>
      <c r="C109" s="3" t="s">
        <v>30</v>
      </c>
      <c r="D109" s="3" t="s">
        <v>35</v>
      </c>
      <c r="E109" s="3" t="s">
        <v>19</v>
      </c>
      <c r="F109" s="3">
        <v>3871</v>
      </c>
      <c r="G109" s="3">
        <v>4115</v>
      </c>
      <c r="H109" s="3" t="s">
        <v>20</v>
      </c>
      <c r="I109" s="3" t="s">
        <v>21</v>
      </c>
      <c r="J109" s="6" t="s">
        <v>42</v>
      </c>
      <c r="K109" s="2">
        <v>2026</v>
      </c>
      <c r="L109" s="3">
        <f t="shared" si="5"/>
        <v>-244</v>
      </c>
      <c r="M109" s="3">
        <f t="shared" si="6"/>
        <v>73</v>
      </c>
      <c r="N109" s="3">
        <f t="shared" si="7"/>
        <v>146154</v>
      </c>
      <c r="O109" s="3">
        <f t="shared" si="8"/>
        <v>183862</v>
      </c>
      <c r="P109" s="3">
        <f t="shared" si="9"/>
        <v>-37708</v>
      </c>
    </row>
    <row r="110" spans="1:16">
      <c r="A110" s="3" t="s">
        <v>149</v>
      </c>
      <c r="B110" s="4">
        <v>46093</v>
      </c>
      <c r="C110" s="3" t="s">
        <v>30</v>
      </c>
      <c r="D110" s="3" t="s">
        <v>35</v>
      </c>
      <c r="E110" s="3" t="s">
        <v>19</v>
      </c>
      <c r="F110" s="3">
        <v>4331</v>
      </c>
      <c r="G110" s="3">
        <v>4513</v>
      </c>
      <c r="H110" s="3" t="s">
        <v>26</v>
      </c>
      <c r="I110" s="3" t="s">
        <v>27</v>
      </c>
      <c r="J110" s="6" t="s">
        <v>22</v>
      </c>
      <c r="K110" s="2">
        <v>2026</v>
      </c>
      <c r="L110" s="3">
        <f t="shared" si="5"/>
        <v>-182</v>
      </c>
      <c r="M110" s="3">
        <f t="shared" si="6"/>
        <v>72</v>
      </c>
      <c r="N110" s="3">
        <f t="shared" si="7"/>
        <v>146154</v>
      </c>
      <c r="O110" s="3">
        <f t="shared" si="8"/>
        <v>179991</v>
      </c>
      <c r="P110" s="3">
        <f t="shared" si="9"/>
        <v>-33837</v>
      </c>
    </row>
    <row r="111" spans="1:16">
      <c r="A111" s="3" t="s">
        <v>150</v>
      </c>
      <c r="B111" s="4">
        <v>46087</v>
      </c>
      <c r="C111" s="3" t="s">
        <v>17</v>
      </c>
      <c r="D111" s="3" t="s">
        <v>50</v>
      </c>
      <c r="E111" s="3" t="s">
        <v>19</v>
      </c>
      <c r="F111" s="3">
        <v>747</v>
      </c>
      <c r="G111" s="3">
        <v>737</v>
      </c>
      <c r="H111" s="3" t="s">
        <v>26</v>
      </c>
      <c r="I111" s="3" t="s">
        <v>27</v>
      </c>
      <c r="J111" s="6" t="s">
        <v>22</v>
      </c>
      <c r="K111" s="2">
        <v>2026</v>
      </c>
      <c r="L111" s="3">
        <f t="shared" si="5"/>
        <v>10</v>
      </c>
      <c r="M111" s="3">
        <f t="shared" si="6"/>
        <v>71</v>
      </c>
      <c r="N111" s="3">
        <f t="shared" si="7"/>
        <v>146154</v>
      </c>
      <c r="O111" s="3">
        <f t="shared" si="8"/>
        <v>175660</v>
      </c>
      <c r="P111" s="3">
        <f t="shared" si="9"/>
        <v>-29506</v>
      </c>
    </row>
    <row r="112" spans="1:16">
      <c r="A112" s="3" t="s">
        <v>151</v>
      </c>
      <c r="B112" s="4">
        <v>46132</v>
      </c>
      <c r="C112" s="3" t="s">
        <v>30</v>
      </c>
      <c r="D112" s="3" t="s">
        <v>17</v>
      </c>
      <c r="E112" s="3" t="s">
        <v>25</v>
      </c>
      <c r="F112" s="3">
        <v>2557</v>
      </c>
      <c r="G112" s="3">
        <v>2519</v>
      </c>
      <c r="H112" s="3" t="s">
        <v>20</v>
      </c>
      <c r="I112" s="3" t="s">
        <v>27</v>
      </c>
      <c r="J112" s="6" t="s">
        <v>28</v>
      </c>
      <c r="K112" s="2">
        <v>2026</v>
      </c>
      <c r="L112" s="3">
        <f t="shared" si="5"/>
        <v>38</v>
      </c>
      <c r="M112" s="3">
        <f t="shared" si="6"/>
        <v>70</v>
      </c>
      <c r="N112" s="3">
        <f t="shared" si="7"/>
        <v>146154</v>
      </c>
      <c r="O112" s="3">
        <f t="shared" si="8"/>
        <v>174913</v>
      </c>
      <c r="P112" s="3">
        <f t="shared" si="9"/>
        <v>-28759</v>
      </c>
    </row>
    <row r="113" spans="1:16">
      <c r="A113" s="3" t="s">
        <v>152</v>
      </c>
      <c r="B113" s="4">
        <v>46165</v>
      </c>
      <c r="C113" s="3" t="s">
        <v>37</v>
      </c>
      <c r="D113" s="3" t="s">
        <v>69</v>
      </c>
      <c r="E113" s="3" t="s">
        <v>19</v>
      </c>
      <c r="F113" s="3">
        <v>1598</v>
      </c>
      <c r="G113" s="3">
        <v>1734</v>
      </c>
      <c r="H113" s="3" t="s">
        <v>20</v>
      </c>
      <c r="I113" s="3" t="s">
        <v>39</v>
      </c>
      <c r="J113" s="6" t="s">
        <v>33</v>
      </c>
      <c r="K113" s="2">
        <v>2026</v>
      </c>
      <c r="L113" s="3">
        <f t="shared" si="5"/>
        <v>-136</v>
      </c>
      <c r="M113" s="3">
        <f t="shared" si="6"/>
        <v>69</v>
      </c>
      <c r="N113" s="3">
        <f t="shared" si="7"/>
        <v>143597</v>
      </c>
      <c r="O113" s="3">
        <f t="shared" si="8"/>
        <v>174913</v>
      </c>
      <c r="P113" s="3">
        <f t="shared" si="9"/>
        <v>-31316</v>
      </c>
    </row>
    <row r="114" spans="1:16">
      <c r="A114" s="3" t="s">
        <v>153</v>
      </c>
      <c r="B114" s="4">
        <v>46126</v>
      </c>
      <c r="C114" s="3" t="s">
        <v>37</v>
      </c>
      <c r="D114" s="3" t="s">
        <v>35</v>
      </c>
      <c r="E114" s="3" t="s">
        <v>19</v>
      </c>
      <c r="F114" s="3">
        <v>2549</v>
      </c>
      <c r="G114" s="3">
        <v>2664</v>
      </c>
      <c r="H114" s="3" t="s">
        <v>32</v>
      </c>
      <c r="I114" s="3" t="s">
        <v>27</v>
      </c>
      <c r="J114" s="6" t="s">
        <v>28</v>
      </c>
      <c r="K114" s="2">
        <v>2026</v>
      </c>
      <c r="L114" s="3">
        <f t="shared" si="5"/>
        <v>-115</v>
      </c>
      <c r="M114" s="3">
        <f t="shared" si="6"/>
        <v>68</v>
      </c>
      <c r="N114" s="3">
        <f t="shared" si="7"/>
        <v>143597</v>
      </c>
      <c r="O114" s="3">
        <f t="shared" si="8"/>
        <v>173315</v>
      </c>
      <c r="P114" s="3">
        <f t="shared" si="9"/>
        <v>-29718</v>
      </c>
    </row>
    <row r="115" spans="1:16">
      <c r="A115" s="3" t="s">
        <v>154</v>
      </c>
      <c r="B115" s="4">
        <v>46153</v>
      </c>
      <c r="C115" s="3" t="s">
        <v>37</v>
      </c>
      <c r="D115" s="3" t="s">
        <v>47</v>
      </c>
      <c r="E115" s="3" t="s">
        <v>25</v>
      </c>
      <c r="F115" s="3">
        <v>6956</v>
      </c>
      <c r="G115" s="3">
        <v>7567</v>
      </c>
      <c r="H115" s="3" t="s">
        <v>20</v>
      </c>
      <c r="I115" s="3" t="s">
        <v>21</v>
      </c>
      <c r="J115" s="6" t="s">
        <v>33</v>
      </c>
      <c r="K115" s="2">
        <v>2026</v>
      </c>
      <c r="L115" s="3">
        <f t="shared" si="5"/>
        <v>-611</v>
      </c>
      <c r="M115" s="3">
        <f t="shared" si="6"/>
        <v>67</v>
      </c>
      <c r="N115" s="3">
        <f t="shared" si="7"/>
        <v>143597</v>
      </c>
      <c r="O115" s="3">
        <f t="shared" si="8"/>
        <v>170766</v>
      </c>
      <c r="P115" s="3">
        <f t="shared" si="9"/>
        <v>-27169</v>
      </c>
    </row>
    <row r="116" spans="1:16">
      <c r="A116" s="3" t="s">
        <v>155</v>
      </c>
      <c r="B116" s="4">
        <v>46108</v>
      </c>
      <c r="C116" s="3" t="s">
        <v>37</v>
      </c>
      <c r="D116" s="3" t="s">
        <v>17</v>
      </c>
      <c r="E116" s="3" t="s">
        <v>25</v>
      </c>
      <c r="F116" s="3">
        <v>1549</v>
      </c>
      <c r="G116" s="3">
        <v>1386</v>
      </c>
      <c r="H116" s="3" t="s">
        <v>20</v>
      </c>
      <c r="I116" s="3" t="s">
        <v>21</v>
      </c>
      <c r="J116" s="6" t="s">
        <v>22</v>
      </c>
      <c r="K116" s="2">
        <v>2026</v>
      </c>
      <c r="L116" s="3">
        <f t="shared" si="5"/>
        <v>163</v>
      </c>
      <c r="M116" s="3">
        <f t="shared" si="6"/>
        <v>66</v>
      </c>
      <c r="N116" s="3">
        <f t="shared" si="7"/>
        <v>136641</v>
      </c>
      <c r="O116" s="3">
        <f t="shared" si="8"/>
        <v>170766</v>
      </c>
      <c r="P116" s="3">
        <f t="shared" si="9"/>
        <v>-34125</v>
      </c>
    </row>
    <row r="117" spans="1:16">
      <c r="A117" s="3" t="s">
        <v>156</v>
      </c>
      <c r="B117" s="4">
        <v>46090</v>
      </c>
      <c r="C117" s="3" t="s">
        <v>37</v>
      </c>
      <c r="D117" s="3" t="s">
        <v>38</v>
      </c>
      <c r="E117" s="3" t="s">
        <v>19</v>
      </c>
      <c r="F117" s="3">
        <v>2595</v>
      </c>
      <c r="G117" s="3">
        <v>2860</v>
      </c>
      <c r="H117" s="3" t="s">
        <v>26</v>
      </c>
      <c r="I117" s="3" t="s">
        <v>27</v>
      </c>
      <c r="J117" s="6" t="s">
        <v>22</v>
      </c>
      <c r="K117" s="2">
        <v>2026</v>
      </c>
      <c r="L117" s="3">
        <f t="shared" si="5"/>
        <v>-265</v>
      </c>
      <c r="M117" s="3">
        <f t="shared" si="6"/>
        <v>65</v>
      </c>
      <c r="N117" s="3">
        <f t="shared" si="7"/>
        <v>135092</v>
      </c>
      <c r="O117" s="3">
        <f t="shared" si="8"/>
        <v>170766</v>
      </c>
      <c r="P117" s="3">
        <f t="shared" si="9"/>
        <v>-35674</v>
      </c>
    </row>
    <row r="118" spans="1:16">
      <c r="A118" s="3" t="s">
        <v>157</v>
      </c>
      <c r="B118" s="4">
        <v>46135</v>
      </c>
      <c r="C118" s="3" t="s">
        <v>37</v>
      </c>
      <c r="D118" s="3" t="s">
        <v>35</v>
      </c>
      <c r="E118" s="3" t="s">
        <v>19</v>
      </c>
      <c r="F118" s="3">
        <v>4974</v>
      </c>
      <c r="G118" s="3">
        <v>5615</v>
      </c>
      <c r="H118" s="3" t="s">
        <v>26</v>
      </c>
      <c r="I118" s="3" t="s">
        <v>21</v>
      </c>
      <c r="J118" s="6" t="s">
        <v>28</v>
      </c>
      <c r="K118" s="2">
        <v>2026</v>
      </c>
      <c r="L118" s="3">
        <f t="shared" si="5"/>
        <v>-641</v>
      </c>
      <c r="M118" s="3">
        <f t="shared" si="6"/>
        <v>64</v>
      </c>
      <c r="N118" s="3">
        <f t="shared" si="7"/>
        <v>135092</v>
      </c>
      <c r="O118" s="3">
        <f t="shared" si="8"/>
        <v>168171</v>
      </c>
      <c r="P118" s="3">
        <f t="shared" si="9"/>
        <v>-33079</v>
      </c>
    </row>
    <row r="119" spans="1:16">
      <c r="A119" s="3" t="s">
        <v>158</v>
      </c>
      <c r="B119" s="4">
        <v>46118</v>
      </c>
      <c r="C119" s="3" t="s">
        <v>37</v>
      </c>
      <c r="D119" s="3" t="s">
        <v>69</v>
      </c>
      <c r="E119" s="3" t="s">
        <v>19</v>
      </c>
      <c r="F119" s="3">
        <v>2394</v>
      </c>
      <c r="G119" s="3">
        <v>2800</v>
      </c>
      <c r="H119" s="3" t="s">
        <v>20</v>
      </c>
      <c r="I119" s="3" t="s">
        <v>21</v>
      </c>
      <c r="J119" s="6" t="s">
        <v>28</v>
      </c>
      <c r="K119" s="2">
        <v>2026</v>
      </c>
      <c r="L119" s="3">
        <f t="shared" si="5"/>
        <v>-406</v>
      </c>
      <c r="M119" s="3">
        <f t="shared" si="6"/>
        <v>63</v>
      </c>
      <c r="N119" s="3">
        <f t="shared" si="7"/>
        <v>135092</v>
      </c>
      <c r="O119" s="3">
        <f t="shared" si="8"/>
        <v>163197</v>
      </c>
      <c r="P119" s="3">
        <f t="shared" si="9"/>
        <v>-28105</v>
      </c>
    </row>
    <row r="120" spans="1:16">
      <c r="A120" s="3" t="s">
        <v>159</v>
      </c>
      <c r="B120" s="4">
        <v>46081</v>
      </c>
      <c r="C120" s="3" t="s">
        <v>17</v>
      </c>
      <c r="D120" s="3" t="s">
        <v>50</v>
      </c>
      <c r="E120" s="3" t="s">
        <v>19</v>
      </c>
      <c r="F120" s="3">
        <v>5802</v>
      </c>
      <c r="G120" s="3">
        <v>5593</v>
      </c>
      <c r="H120" s="3" t="s">
        <v>32</v>
      </c>
      <c r="I120" s="3" t="s">
        <v>21</v>
      </c>
      <c r="J120" s="6" t="s">
        <v>48</v>
      </c>
      <c r="K120" s="2">
        <v>2026</v>
      </c>
      <c r="L120" s="3">
        <f t="shared" si="5"/>
        <v>209</v>
      </c>
      <c r="M120" s="3">
        <f t="shared" si="6"/>
        <v>62</v>
      </c>
      <c r="N120" s="3">
        <f t="shared" si="7"/>
        <v>135092</v>
      </c>
      <c r="O120" s="3">
        <f t="shared" si="8"/>
        <v>160803</v>
      </c>
      <c r="P120" s="3">
        <f t="shared" si="9"/>
        <v>-25711</v>
      </c>
    </row>
    <row r="121" spans="1:16">
      <c r="A121" s="3" t="s">
        <v>160</v>
      </c>
      <c r="B121" s="4">
        <v>46024</v>
      </c>
      <c r="C121" s="3" t="s">
        <v>37</v>
      </c>
      <c r="D121" s="3" t="s">
        <v>38</v>
      </c>
      <c r="E121" s="3" t="s">
        <v>19</v>
      </c>
      <c r="F121" s="3">
        <v>1079</v>
      </c>
      <c r="G121" s="3">
        <v>949</v>
      </c>
      <c r="H121" s="3" t="s">
        <v>20</v>
      </c>
      <c r="I121" s="3" t="s">
        <v>39</v>
      </c>
      <c r="J121" s="6" t="s">
        <v>42</v>
      </c>
      <c r="K121" s="2">
        <v>2026</v>
      </c>
      <c r="L121" s="3">
        <f t="shared" si="5"/>
        <v>130</v>
      </c>
      <c r="M121" s="3">
        <f t="shared" si="6"/>
        <v>61</v>
      </c>
      <c r="N121" s="3">
        <f t="shared" si="7"/>
        <v>135092</v>
      </c>
      <c r="O121" s="3">
        <f t="shared" si="8"/>
        <v>155001</v>
      </c>
      <c r="P121" s="3">
        <f t="shared" si="9"/>
        <v>-19909</v>
      </c>
    </row>
    <row r="122" spans="1:16">
      <c r="A122" s="3" t="s">
        <v>161</v>
      </c>
      <c r="B122" s="4">
        <v>46150</v>
      </c>
      <c r="C122" s="3" t="s">
        <v>24</v>
      </c>
      <c r="D122" s="3" t="s">
        <v>18</v>
      </c>
      <c r="E122" s="3" t="s">
        <v>19</v>
      </c>
      <c r="F122" s="3">
        <v>5665</v>
      </c>
      <c r="G122" s="3">
        <v>5880</v>
      </c>
      <c r="H122" s="3" t="s">
        <v>26</v>
      </c>
      <c r="I122" s="3" t="s">
        <v>27</v>
      </c>
      <c r="J122" s="6" t="s">
        <v>33</v>
      </c>
      <c r="K122" s="2">
        <v>2026</v>
      </c>
      <c r="L122" s="3">
        <f t="shared" si="5"/>
        <v>-215</v>
      </c>
      <c r="M122" s="3">
        <f t="shared" si="6"/>
        <v>60</v>
      </c>
      <c r="N122" s="3">
        <f t="shared" si="7"/>
        <v>135092</v>
      </c>
      <c r="O122" s="3">
        <f t="shared" si="8"/>
        <v>153922</v>
      </c>
      <c r="P122" s="3">
        <f t="shared" si="9"/>
        <v>-18830</v>
      </c>
    </row>
    <row r="123" spans="1:16">
      <c r="A123" s="3" t="s">
        <v>162</v>
      </c>
      <c r="B123" s="4">
        <v>46200</v>
      </c>
      <c r="C123" s="3" t="s">
        <v>30</v>
      </c>
      <c r="D123" s="3" t="s">
        <v>69</v>
      </c>
      <c r="E123" s="3" t="s">
        <v>19</v>
      </c>
      <c r="F123" s="3">
        <v>651</v>
      </c>
      <c r="G123" s="3">
        <v>574</v>
      </c>
      <c r="H123" s="3" t="s">
        <v>26</v>
      </c>
      <c r="I123" s="3" t="s">
        <v>21</v>
      </c>
      <c r="J123" s="6" t="s">
        <v>40</v>
      </c>
      <c r="K123" s="2">
        <v>2026</v>
      </c>
      <c r="L123" s="3">
        <f t="shared" si="5"/>
        <v>77</v>
      </c>
      <c r="M123" s="3">
        <f t="shared" si="6"/>
        <v>59</v>
      </c>
      <c r="N123" s="3">
        <f t="shared" si="7"/>
        <v>135092</v>
      </c>
      <c r="O123" s="3">
        <f t="shared" si="8"/>
        <v>148257</v>
      </c>
      <c r="P123" s="3">
        <f t="shared" si="9"/>
        <v>-13165</v>
      </c>
    </row>
    <row r="124" spans="1:16">
      <c r="A124" s="3" t="s">
        <v>163</v>
      </c>
      <c r="B124" s="4">
        <v>46199</v>
      </c>
      <c r="C124" s="3" t="s">
        <v>24</v>
      </c>
      <c r="D124" s="3" t="s">
        <v>35</v>
      </c>
      <c r="E124" s="3" t="s">
        <v>19</v>
      </c>
      <c r="F124" s="3">
        <v>6200</v>
      </c>
      <c r="G124" s="3">
        <v>7104</v>
      </c>
      <c r="H124" s="3" t="s">
        <v>32</v>
      </c>
      <c r="I124" s="3" t="s">
        <v>27</v>
      </c>
      <c r="J124" s="6" t="s">
        <v>40</v>
      </c>
      <c r="K124" s="2">
        <v>2026</v>
      </c>
      <c r="L124" s="3">
        <f t="shared" si="5"/>
        <v>-904</v>
      </c>
      <c r="M124" s="3">
        <f t="shared" si="6"/>
        <v>58</v>
      </c>
      <c r="N124" s="3">
        <f t="shared" si="7"/>
        <v>135092</v>
      </c>
      <c r="O124" s="3">
        <f t="shared" si="8"/>
        <v>147606</v>
      </c>
      <c r="P124" s="3">
        <f t="shared" si="9"/>
        <v>-12514</v>
      </c>
    </row>
    <row r="125" spans="1:16">
      <c r="A125" s="3" t="s">
        <v>164</v>
      </c>
      <c r="B125" s="4">
        <v>46083</v>
      </c>
      <c r="C125" s="3" t="s">
        <v>30</v>
      </c>
      <c r="D125" s="3" t="s">
        <v>50</v>
      </c>
      <c r="E125" s="3" t="s">
        <v>19</v>
      </c>
      <c r="F125" s="3">
        <v>485</v>
      </c>
      <c r="G125" s="3">
        <v>412</v>
      </c>
      <c r="H125" s="3" t="s">
        <v>32</v>
      </c>
      <c r="I125" s="3" t="s">
        <v>21</v>
      </c>
      <c r="J125" s="6" t="s">
        <v>22</v>
      </c>
      <c r="K125" s="2">
        <v>2026</v>
      </c>
      <c r="L125" s="3">
        <f t="shared" si="5"/>
        <v>73</v>
      </c>
      <c r="M125" s="3">
        <f t="shared" si="6"/>
        <v>57</v>
      </c>
      <c r="N125" s="3">
        <f t="shared" si="7"/>
        <v>135092</v>
      </c>
      <c r="O125" s="3">
        <f t="shared" si="8"/>
        <v>141406</v>
      </c>
      <c r="P125" s="3">
        <f t="shared" si="9"/>
        <v>-6314</v>
      </c>
    </row>
    <row r="126" spans="1:16">
      <c r="A126" s="3" t="s">
        <v>165</v>
      </c>
      <c r="B126" s="4">
        <v>46166</v>
      </c>
      <c r="C126" s="3" t="s">
        <v>30</v>
      </c>
      <c r="D126" s="3" t="s">
        <v>69</v>
      </c>
      <c r="E126" s="3" t="s">
        <v>19</v>
      </c>
      <c r="F126" s="3">
        <v>2663</v>
      </c>
      <c r="G126" s="3">
        <v>2968</v>
      </c>
      <c r="H126" s="3" t="s">
        <v>20</v>
      </c>
      <c r="I126" s="3" t="s">
        <v>39</v>
      </c>
      <c r="J126" s="6" t="s">
        <v>33</v>
      </c>
      <c r="K126" s="2">
        <v>2026</v>
      </c>
      <c r="L126" s="3">
        <f t="shared" si="5"/>
        <v>-305</v>
      </c>
      <c r="M126" s="3">
        <f t="shared" si="6"/>
        <v>56</v>
      </c>
      <c r="N126" s="3">
        <f t="shared" si="7"/>
        <v>135092</v>
      </c>
      <c r="O126" s="3">
        <f t="shared" si="8"/>
        <v>140921</v>
      </c>
      <c r="P126" s="3">
        <f t="shared" si="9"/>
        <v>-5829</v>
      </c>
    </row>
    <row r="127" spans="1:16">
      <c r="A127" s="3" t="s">
        <v>166</v>
      </c>
      <c r="B127" s="4">
        <v>46056</v>
      </c>
      <c r="C127" s="3" t="s">
        <v>24</v>
      </c>
      <c r="D127" s="3" t="s">
        <v>69</v>
      </c>
      <c r="E127" s="3" t="s">
        <v>19</v>
      </c>
      <c r="F127" s="3">
        <v>746</v>
      </c>
      <c r="G127" s="3">
        <v>796</v>
      </c>
      <c r="H127" s="3" t="s">
        <v>20</v>
      </c>
      <c r="I127" s="3" t="s">
        <v>21</v>
      </c>
      <c r="J127" s="6" t="s">
        <v>48</v>
      </c>
      <c r="K127" s="2">
        <v>2026</v>
      </c>
      <c r="L127" s="3">
        <f t="shared" si="5"/>
        <v>-50</v>
      </c>
      <c r="M127" s="3">
        <f t="shared" si="6"/>
        <v>55</v>
      </c>
      <c r="N127" s="3">
        <f t="shared" si="7"/>
        <v>135092</v>
      </c>
      <c r="O127" s="3">
        <f t="shared" si="8"/>
        <v>138258</v>
      </c>
      <c r="P127" s="3">
        <f t="shared" si="9"/>
        <v>-3166</v>
      </c>
    </row>
    <row r="128" spans="1:16">
      <c r="A128" s="3" t="s">
        <v>167</v>
      </c>
      <c r="B128" s="4">
        <v>46093</v>
      </c>
      <c r="C128" s="3" t="s">
        <v>17</v>
      </c>
      <c r="D128" s="3" t="s">
        <v>18</v>
      </c>
      <c r="E128" s="3" t="s">
        <v>19</v>
      </c>
      <c r="F128" s="3">
        <v>3011</v>
      </c>
      <c r="G128" s="3">
        <v>2639</v>
      </c>
      <c r="H128" s="3" t="s">
        <v>32</v>
      </c>
      <c r="I128" s="3" t="s">
        <v>39</v>
      </c>
      <c r="J128" s="6" t="s">
        <v>22</v>
      </c>
      <c r="K128" s="2">
        <v>2026</v>
      </c>
      <c r="L128" s="3">
        <f t="shared" si="5"/>
        <v>372</v>
      </c>
      <c r="M128" s="3">
        <f t="shared" si="6"/>
        <v>54</v>
      </c>
      <c r="N128" s="3">
        <f t="shared" si="7"/>
        <v>135092</v>
      </c>
      <c r="O128" s="3">
        <f t="shared" si="8"/>
        <v>137512</v>
      </c>
      <c r="P128" s="3">
        <f t="shared" si="9"/>
        <v>-2420</v>
      </c>
    </row>
    <row r="129" spans="1:16">
      <c r="A129" s="3" t="s">
        <v>168</v>
      </c>
      <c r="B129" s="4">
        <v>46109</v>
      </c>
      <c r="C129" s="3" t="s">
        <v>30</v>
      </c>
      <c r="D129" s="3" t="s">
        <v>47</v>
      </c>
      <c r="E129" s="3" t="s">
        <v>25</v>
      </c>
      <c r="F129" s="3">
        <v>15087</v>
      </c>
      <c r="G129" s="3">
        <v>13892</v>
      </c>
      <c r="H129" s="3" t="s">
        <v>20</v>
      </c>
      <c r="I129" s="3" t="s">
        <v>21</v>
      </c>
      <c r="J129" s="6" t="s">
        <v>22</v>
      </c>
      <c r="K129" s="2">
        <v>2026</v>
      </c>
      <c r="L129" s="3">
        <f t="shared" si="5"/>
        <v>1195</v>
      </c>
      <c r="M129" s="3">
        <f t="shared" si="6"/>
        <v>53</v>
      </c>
      <c r="N129" s="3">
        <f t="shared" si="7"/>
        <v>135092</v>
      </c>
      <c r="O129" s="3">
        <f t="shared" si="8"/>
        <v>134501</v>
      </c>
      <c r="P129" s="3">
        <f t="shared" si="9"/>
        <v>591</v>
      </c>
    </row>
    <row r="130" spans="1:16">
      <c r="A130" s="3" t="s">
        <v>169</v>
      </c>
      <c r="B130" s="4">
        <v>46075</v>
      </c>
      <c r="C130" s="3" t="s">
        <v>37</v>
      </c>
      <c r="D130" s="3" t="s">
        <v>35</v>
      </c>
      <c r="E130" s="3" t="s">
        <v>19</v>
      </c>
      <c r="F130" s="3">
        <v>6497</v>
      </c>
      <c r="G130" s="3">
        <v>7155</v>
      </c>
      <c r="H130" s="3" t="s">
        <v>26</v>
      </c>
      <c r="I130" s="3" t="s">
        <v>39</v>
      </c>
      <c r="J130" s="6" t="s">
        <v>48</v>
      </c>
      <c r="K130" s="2">
        <v>2026</v>
      </c>
      <c r="L130" s="3">
        <f t="shared" si="5"/>
        <v>-658</v>
      </c>
      <c r="M130" s="3">
        <f t="shared" si="6"/>
        <v>52</v>
      </c>
      <c r="N130" s="3">
        <f t="shared" si="7"/>
        <v>120005</v>
      </c>
      <c r="O130" s="3">
        <f t="shared" si="8"/>
        <v>134501</v>
      </c>
      <c r="P130" s="3">
        <f t="shared" si="9"/>
        <v>-14496</v>
      </c>
    </row>
    <row r="131" spans="1:16">
      <c r="A131" s="3" t="s">
        <v>170</v>
      </c>
      <c r="B131" s="4">
        <v>46050</v>
      </c>
      <c r="C131" s="3" t="s">
        <v>30</v>
      </c>
      <c r="D131" s="3" t="s">
        <v>50</v>
      </c>
      <c r="E131" s="3" t="s">
        <v>19</v>
      </c>
      <c r="F131" s="3">
        <v>520</v>
      </c>
      <c r="G131" s="3">
        <v>621</v>
      </c>
      <c r="H131" s="3" t="s">
        <v>20</v>
      </c>
      <c r="I131" s="3" t="s">
        <v>21</v>
      </c>
      <c r="J131" s="6" t="s">
        <v>42</v>
      </c>
      <c r="K131" s="2">
        <v>2026</v>
      </c>
      <c r="L131" s="3">
        <f t="shared" ref="L131:L181" si="10">F131-G131</f>
        <v>-101</v>
      </c>
      <c r="M131" s="3">
        <f t="shared" ref="M131:M181" si="11">COUNTA(A131:A310)</f>
        <v>51</v>
      </c>
      <c r="N131" s="3">
        <f t="shared" ref="N131:N181" si="12">SUMIF(E131:E310,"Revenue",F131:F310)</f>
        <v>120005</v>
      </c>
      <c r="O131" s="3">
        <f t="shared" ref="O131:O181" si="13">SUMIF(E131:E310,"Expense",F131:F310)</f>
        <v>128004</v>
      </c>
      <c r="P131" s="3">
        <f t="shared" ref="P131:P181" si="14">N131-O131</f>
        <v>-7999</v>
      </c>
    </row>
    <row r="132" spans="1:16">
      <c r="A132" s="3" t="s">
        <v>171</v>
      </c>
      <c r="B132" s="4">
        <v>46117</v>
      </c>
      <c r="C132" s="3" t="s">
        <v>24</v>
      </c>
      <c r="D132" s="3" t="s">
        <v>47</v>
      </c>
      <c r="E132" s="3" t="s">
        <v>25</v>
      </c>
      <c r="F132" s="3">
        <v>8093</v>
      </c>
      <c r="G132" s="3">
        <v>7297</v>
      </c>
      <c r="H132" s="3" t="s">
        <v>26</v>
      </c>
      <c r="I132" s="3" t="s">
        <v>39</v>
      </c>
      <c r="J132" s="6" t="s">
        <v>28</v>
      </c>
      <c r="K132" s="2">
        <v>2026</v>
      </c>
      <c r="L132" s="3">
        <f t="shared" si="10"/>
        <v>796</v>
      </c>
      <c r="M132" s="3">
        <f t="shared" si="11"/>
        <v>50</v>
      </c>
      <c r="N132" s="3">
        <f t="shared" si="12"/>
        <v>120005</v>
      </c>
      <c r="O132" s="3">
        <f t="shared" si="13"/>
        <v>127484</v>
      </c>
      <c r="P132" s="3">
        <f t="shared" si="14"/>
        <v>-7479</v>
      </c>
    </row>
    <row r="133" spans="1:16">
      <c r="A133" s="3" t="s">
        <v>172</v>
      </c>
      <c r="B133" s="4">
        <v>46043</v>
      </c>
      <c r="C133" s="3" t="s">
        <v>30</v>
      </c>
      <c r="D133" s="3" t="s">
        <v>47</v>
      </c>
      <c r="E133" s="3" t="s">
        <v>25</v>
      </c>
      <c r="F133" s="3">
        <v>12740</v>
      </c>
      <c r="G133" s="3">
        <v>14037</v>
      </c>
      <c r="H133" s="3" t="s">
        <v>20</v>
      </c>
      <c r="I133" s="3" t="s">
        <v>27</v>
      </c>
      <c r="J133" s="6" t="s">
        <v>42</v>
      </c>
      <c r="K133" s="2">
        <v>2026</v>
      </c>
      <c r="L133" s="3">
        <f t="shared" si="10"/>
        <v>-1297</v>
      </c>
      <c r="M133" s="3">
        <f t="shared" si="11"/>
        <v>49</v>
      </c>
      <c r="N133" s="3">
        <f t="shared" si="12"/>
        <v>111912</v>
      </c>
      <c r="O133" s="3">
        <f t="shared" si="13"/>
        <v>127484</v>
      </c>
      <c r="P133" s="3">
        <f t="shared" si="14"/>
        <v>-15572</v>
      </c>
    </row>
    <row r="134" spans="1:16">
      <c r="A134" s="3" t="s">
        <v>173</v>
      </c>
      <c r="B134" s="4">
        <v>46150</v>
      </c>
      <c r="C134" s="3" t="s">
        <v>30</v>
      </c>
      <c r="D134" s="3" t="s">
        <v>35</v>
      </c>
      <c r="E134" s="3" t="s">
        <v>19</v>
      </c>
      <c r="F134" s="3">
        <v>2863</v>
      </c>
      <c r="G134" s="3">
        <v>2861</v>
      </c>
      <c r="H134" s="3" t="s">
        <v>26</v>
      </c>
      <c r="I134" s="3" t="s">
        <v>39</v>
      </c>
      <c r="J134" s="6" t="s">
        <v>33</v>
      </c>
      <c r="K134" s="2">
        <v>2026</v>
      </c>
      <c r="L134" s="3">
        <f t="shared" si="10"/>
        <v>2</v>
      </c>
      <c r="M134" s="3">
        <f t="shared" si="11"/>
        <v>48</v>
      </c>
      <c r="N134" s="3">
        <f t="shared" si="12"/>
        <v>99172</v>
      </c>
      <c r="O134" s="3">
        <f t="shared" si="13"/>
        <v>127484</v>
      </c>
      <c r="P134" s="3">
        <f t="shared" si="14"/>
        <v>-28312</v>
      </c>
    </row>
    <row r="135" spans="1:16">
      <c r="A135" s="3" t="s">
        <v>174</v>
      </c>
      <c r="B135" s="4">
        <v>46136</v>
      </c>
      <c r="C135" s="3" t="s">
        <v>37</v>
      </c>
      <c r="D135" s="3" t="s">
        <v>50</v>
      </c>
      <c r="E135" s="3" t="s">
        <v>19</v>
      </c>
      <c r="F135" s="3">
        <v>6285</v>
      </c>
      <c r="G135" s="3">
        <v>5591</v>
      </c>
      <c r="H135" s="3" t="s">
        <v>20</v>
      </c>
      <c r="I135" s="3" t="s">
        <v>21</v>
      </c>
      <c r="J135" s="6" t="s">
        <v>28</v>
      </c>
      <c r="K135" s="2">
        <v>2026</v>
      </c>
      <c r="L135" s="3">
        <f t="shared" si="10"/>
        <v>694</v>
      </c>
      <c r="M135" s="3">
        <f t="shared" si="11"/>
        <v>47</v>
      </c>
      <c r="N135" s="3">
        <f t="shared" si="12"/>
        <v>99172</v>
      </c>
      <c r="O135" s="3">
        <f t="shared" si="13"/>
        <v>124621</v>
      </c>
      <c r="P135" s="3">
        <f t="shared" si="14"/>
        <v>-25449</v>
      </c>
    </row>
    <row r="136" spans="1:16">
      <c r="A136" s="3" t="s">
        <v>175</v>
      </c>
      <c r="B136" s="4">
        <v>46036</v>
      </c>
      <c r="C136" s="3" t="s">
        <v>37</v>
      </c>
      <c r="D136" s="3" t="s">
        <v>17</v>
      </c>
      <c r="E136" s="3" t="s">
        <v>25</v>
      </c>
      <c r="F136" s="3">
        <v>9087</v>
      </c>
      <c r="G136" s="3">
        <v>9817</v>
      </c>
      <c r="H136" s="3" t="s">
        <v>32</v>
      </c>
      <c r="I136" s="3" t="s">
        <v>39</v>
      </c>
      <c r="J136" s="6" t="s">
        <v>42</v>
      </c>
      <c r="K136" s="2">
        <v>2026</v>
      </c>
      <c r="L136" s="3">
        <f t="shared" si="10"/>
        <v>-730</v>
      </c>
      <c r="M136" s="3">
        <f t="shared" si="11"/>
        <v>46</v>
      </c>
      <c r="N136" s="3">
        <f t="shared" si="12"/>
        <v>99172</v>
      </c>
      <c r="O136" s="3">
        <f t="shared" si="13"/>
        <v>118336</v>
      </c>
      <c r="P136" s="3">
        <f t="shared" si="14"/>
        <v>-19164</v>
      </c>
    </row>
    <row r="137" spans="1:16">
      <c r="A137" s="3" t="s">
        <v>176</v>
      </c>
      <c r="B137" s="4">
        <v>46183</v>
      </c>
      <c r="C137" s="3" t="s">
        <v>17</v>
      </c>
      <c r="D137" s="3" t="s">
        <v>69</v>
      </c>
      <c r="E137" s="3" t="s">
        <v>19</v>
      </c>
      <c r="F137" s="3">
        <v>3498</v>
      </c>
      <c r="G137" s="3">
        <v>4030</v>
      </c>
      <c r="H137" s="3" t="s">
        <v>20</v>
      </c>
      <c r="I137" s="3" t="s">
        <v>39</v>
      </c>
      <c r="J137" s="6" t="s">
        <v>40</v>
      </c>
      <c r="K137" s="2">
        <v>2026</v>
      </c>
      <c r="L137" s="3">
        <f t="shared" si="10"/>
        <v>-532</v>
      </c>
      <c r="M137" s="3">
        <f t="shared" si="11"/>
        <v>45</v>
      </c>
      <c r="N137" s="3">
        <f t="shared" si="12"/>
        <v>90085</v>
      </c>
      <c r="O137" s="3">
        <f t="shared" si="13"/>
        <v>118336</v>
      </c>
      <c r="P137" s="3">
        <f t="shared" si="14"/>
        <v>-28251</v>
      </c>
    </row>
    <row r="138" spans="1:16">
      <c r="A138" s="3" t="s">
        <v>177</v>
      </c>
      <c r="B138" s="4">
        <v>46195</v>
      </c>
      <c r="C138" s="3" t="s">
        <v>37</v>
      </c>
      <c r="D138" s="3" t="s">
        <v>18</v>
      </c>
      <c r="E138" s="3" t="s">
        <v>19</v>
      </c>
      <c r="F138" s="3">
        <v>919</v>
      </c>
      <c r="G138" s="3">
        <v>1097</v>
      </c>
      <c r="H138" s="3" t="s">
        <v>32</v>
      </c>
      <c r="I138" s="3" t="s">
        <v>27</v>
      </c>
      <c r="J138" s="6" t="s">
        <v>40</v>
      </c>
      <c r="K138" s="2">
        <v>2026</v>
      </c>
      <c r="L138" s="3">
        <f t="shared" si="10"/>
        <v>-178</v>
      </c>
      <c r="M138" s="3">
        <f t="shared" si="11"/>
        <v>44</v>
      </c>
      <c r="N138" s="3">
        <f t="shared" si="12"/>
        <v>90085</v>
      </c>
      <c r="O138" s="3">
        <f t="shared" si="13"/>
        <v>114838</v>
      </c>
      <c r="P138" s="3">
        <f t="shared" si="14"/>
        <v>-24753</v>
      </c>
    </row>
    <row r="139" spans="1:16">
      <c r="A139" s="3" t="s">
        <v>178</v>
      </c>
      <c r="B139" s="4">
        <v>46171</v>
      </c>
      <c r="C139" s="3" t="s">
        <v>24</v>
      </c>
      <c r="D139" s="3" t="s">
        <v>69</v>
      </c>
      <c r="E139" s="3" t="s">
        <v>19</v>
      </c>
      <c r="F139" s="3">
        <v>2637</v>
      </c>
      <c r="G139" s="3">
        <v>2839</v>
      </c>
      <c r="H139" s="3" t="s">
        <v>32</v>
      </c>
      <c r="I139" s="3" t="s">
        <v>21</v>
      </c>
      <c r="J139" s="6" t="s">
        <v>33</v>
      </c>
      <c r="K139" s="2">
        <v>2026</v>
      </c>
      <c r="L139" s="3">
        <f t="shared" si="10"/>
        <v>-202</v>
      </c>
      <c r="M139" s="3">
        <f t="shared" si="11"/>
        <v>43</v>
      </c>
      <c r="N139" s="3">
        <f t="shared" si="12"/>
        <v>90085</v>
      </c>
      <c r="O139" s="3">
        <f t="shared" si="13"/>
        <v>113919</v>
      </c>
      <c r="P139" s="3">
        <f t="shared" si="14"/>
        <v>-23834</v>
      </c>
    </row>
    <row r="140" spans="1:16">
      <c r="A140" s="3" t="s">
        <v>179</v>
      </c>
      <c r="B140" s="4">
        <v>46163</v>
      </c>
      <c r="C140" s="3" t="s">
        <v>30</v>
      </c>
      <c r="D140" s="3" t="s">
        <v>31</v>
      </c>
      <c r="E140" s="3" t="s">
        <v>19</v>
      </c>
      <c r="F140" s="3">
        <v>4000</v>
      </c>
      <c r="G140" s="3">
        <v>3967</v>
      </c>
      <c r="H140" s="3" t="s">
        <v>26</v>
      </c>
      <c r="I140" s="3" t="s">
        <v>39</v>
      </c>
      <c r="J140" s="6" t="s">
        <v>33</v>
      </c>
      <c r="K140" s="2">
        <v>2026</v>
      </c>
      <c r="L140" s="3">
        <f t="shared" si="10"/>
        <v>33</v>
      </c>
      <c r="M140" s="3">
        <f t="shared" si="11"/>
        <v>42</v>
      </c>
      <c r="N140" s="3">
        <f t="shared" si="12"/>
        <v>90085</v>
      </c>
      <c r="O140" s="3">
        <f t="shared" si="13"/>
        <v>111282</v>
      </c>
      <c r="P140" s="3">
        <f t="shared" si="14"/>
        <v>-21197</v>
      </c>
    </row>
    <row r="141" spans="1:16">
      <c r="A141" s="3" t="s">
        <v>180</v>
      </c>
      <c r="B141" s="4">
        <v>46107</v>
      </c>
      <c r="C141" s="3" t="s">
        <v>30</v>
      </c>
      <c r="D141" s="3" t="s">
        <v>18</v>
      </c>
      <c r="E141" s="3" t="s">
        <v>19</v>
      </c>
      <c r="F141" s="3">
        <v>1503</v>
      </c>
      <c r="G141" s="3">
        <v>1656</v>
      </c>
      <c r="H141" s="3" t="s">
        <v>32</v>
      </c>
      <c r="I141" s="3" t="s">
        <v>21</v>
      </c>
      <c r="J141" s="6" t="s">
        <v>22</v>
      </c>
      <c r="K141" s="2">
        <v>2026</v>
      </c>
      <c r="L141" s="3">
        <f t="shared" si="10"/>
        <v>-153</v>
      </c>
      <c r="M141" s="3">
        <f t="shared" si="11"/>
        <v>41</v>
      </c>
      <c r="N141" s="3">
        <f t="shared" si="12"/>
        <v>90085</v>
      </c>
      <c r="O141" s="3">
        <f t="shared" si="13"/>
        <v>107282</v>
      </c>
      <c r="P141" s="3">
        <f t="shared" si="14"/>
        <v>-17197</v>
      </c>
    </row>
    <row r="142" spans="1:16">
      <c r="A142" s="3" t="s">
        <v>181</v>
      </c>
      <c r="B142" s="4">
        <v>46076</v>
      </c>
      <c r="C142" s="3" t="s">
        <v>37</v>
      </c>
      <c r="D142" s="3" t="s">
        <v>47</v>
      </c>
      <c r="E142" s="3" t="s">
        <v>25</v>
      </c>
      <c r="F142" s="3">
        <v>6003</v>
      </c>
      <c r="G142" s="3">
        <v>6588</v>
      </c>
      <c r="H142" s="3" t="s">
        <v>20</v>
      </c>
      <c r="I142" s="3" t="s">
        <v>21</v>
      </c>
      <c r="J142" s="6" t="s">
        <v>48</v>
      </c>
      <c r="K142" s="2">
        <v>2026</v>
      </c>
      <c r="L142" s="3">
        <f t="shared" si="10"/>
        <v>-585</v>
      </c>
      <c r="M142" s="3">
        <f t="shared" si="11"/>
        <v>40</v>
      </c>
      <c r="N142" s="3">
        <f t="shared" si="12"/>
        <v>90085</v>
      </c>
      <c r="O142" s="3">
        <f t="shared" si="13"/>
        <v>105779</v>
      </c>
      <c r="P142" s="3">
        <f t="shared" si="14"/>
        <v>-15694</v>
      </c>
    </row>
    <row r="143" spans="1:16">
      <c r="A143" s="3" t="s">
        <v>182</v>
      </c>
      <c r="B143" s="4">
        <v>46080</v>
      </c>
      <c r="C143" s="3" t="s">
        <v>24</v>
      </c>
      <c r="D143" s="3" t="s">
        <v>69</v>
      </c>
      <c r="E143" s="3" t="s">
        <v>19</v>
      </c>
      <c r="F143" s="3">
        <v>4991</v>
      </c>
      <c r="G143" s="3">
        <v>5459</v>
      </c>
      <c r="H143" s="3" t="s">
        <v>20</v>
      </c>
      <c r="I143" s="3" t="s">
        <v>39</v>
      </c>
      <c r="J143" s="6" t="s">
        <v>48</v>
      </c>
      <c r="K143" s="2">
        <v>2026</v>
      </c>
      <c r="L143" s="3">
        <f t="shared" si="10"/>
        <v>-468</v>
      </c>
      <c r="M143" s="3">
        <f t="shared" si="11"/>
        <v>39</v>
      </c>
      <c r="N143" s="3">
        <f t="shared" si="12"/>
        <v>84082</v>
      </c>
      <c r="O143" s="3">
        <f t="shared" si="13"/>
        <v>105779</v>
      </c>
      <c r="P143" s="3">
        <f t="shared" si="14"/>
        <v>-21697</v>
      </c>
    </row>
    <row r="144" spans="1:16">
      <c r="A144" s="3" t="s">
        <v>183</v>
      </c>
      <c r="B144" s="4">
        <v>46163</v>
      </c>
      <c r="C144" s="3" t="s">
        <v>30</v>
      </c>
      <c r="D144" s="3" t="s">
        <v>38</v>
      </c>
      <c r="E144" s="3" t="s">
        <v>19</v>
      </c>
      <c r="F144" s="3">
        <v>4167</v>
      </c>
      <c r="G144" s="3">
        <v>4006</v>
      </c>
      <c r="H144" s="3" t="s">
        <v>32</v>
      </c>
      <c r="I144" s="3" t="s">
        <v>39</v>
      </c>
      <c r="J144" s="6" t="s">
        <v>33</v>
      </c>
      <c r="K144" s="2">
        <v>2026</v>
      </c>
      <c r="L144" s="3">
        <f t="shared" si="10"/>
        <v>161</v>
      </c>
      <c r="M144" s="3">
        <f t="shared" si="11"/>
        <v>38</v>
      </c>
      <c r="N144" s="3">
        <f t="shared" si="12"/>
        <v>84082</v>
      </c>
      <c r="O144" s="3">
        <f t="shared" si="13"/>
        <v>100788</v>
      </c>
      <c r="P144" s="3">
        <f t="shared" si="14"/>
        <v>-16706</v>
      </c>
    </row>
    <row r="145" spans="1:16">
      <c r="A145" s="3" t="s">
        <v>184</v>
      </c>
      <c r="B145" s="4">
        <v>46161</v>
      </c>
      <c r="C145" s="3" t="s">
        <v>30</v>
      </c>
      <c r="D145" s="3" t="s">
        <v>17</v>
      </c>
      <c r="E145" s="3" t="s">
        <v>25</v>
      </c>
      <c r="F145" s="3">
        <v>4589</v>
      </c>
      <c r="G145" s="3">
        <v>5104</v>
      </c>
      <c r="H145" s="3" t="s">
        <v>26</v>
      </c>
      <c r="I145" s="3" t="s">
        <v>21</v>
      </c>
      <c r="J145" s="6" t="s">
        <v>33</v>
      </c>
      <c r="K145" s="2">
        <v>2026</v>
      </c>
      <c r="L145" s="3">
        <f t="shared" si="10"/>
        <v>-515</v>
      </c>
      <c r="M145" s="3">
        <f t="shared" si="11"/>
        <v>37</v>
      </c>
      <c r="N145" s="3">
        <f t="shared" si="12"/>
        <v>84082</v>
      </c>
      <c r="O145" s="3">
        <f t="shared" si="13"/>
        <v>96621</v>
      </c>
      <c r="P145" s="3">
        <f t="shared" si="14"/>
        <v>-12539</v>
      </c>
    </row>
    <row r="146" spans="1:16">
      <c r="A146" s="3" t="s">
        <v>185</v>
      </c>
      <c r="B146" s="4">
        <v>46167</v>
      </c>
      <c r="C146" s="3" t="s">
        <v>24</v>
      </c>
      <c r="D146" s="3" t="s">
        <v>69</v>
      </c>
      <c r="E146" s="3" t="s">
        <v>19</v>
      </c>
      <c r="F146" s="3">
        <v>2426</v>
      </c>
      <c r="G146" s="3">
        <v>2446</v>
      </c>
      <c r="H146" s="3" t="s">
        <v>32</v>
      </c>
      <c r="I146" s="3" t="s">
        <v>27</v>
      </c>
      <c r="J146" s="6" t="s">
        <v>33</v>
      </c>
      <c r="K146" s="2">
        <v>2026</v>
      </c>
      <c r="L146" s="3">
        <f t="shared" si="10"/>
        <v>-20</v>
      </c>
      <c r="M146" s="3">
        <f t="shared" si="11"/>
        <v>36</v>
      </c>
      <c r="N146" s="3">
        <f t="shared" si="12"/>
        <v>79493</v>
      </c>
      <c r="O146" s="3">
        <f t="shared" si="13"/>
        <v>96621</v>
      </c>
      <c r="P146" s="3">
        <f t="shared" si="14"/>
        <v>-17128</v>
      </c>
    </row>
    <row r="147" spans="1:16">
      <c r="A147" s="3" t="s">
        <v>186</v>
      </c>
      <c r="B147" s="4">
        <v>46200</v>
      </c>
      <c r="C147" s="3" t="s">
        <v>37</v>
      </c>
      <c r="D147" s="3" t="s">
        <v>47</v>
      </c>
      <c r="E147" s="3" t="s">
        <v>25</v>
      </c>
      <c r="F147" s="3">
        <v>1383</v>
      </c>
      <c r="G147" s="3">
        <v>1226</v>
      </c>
      <c r="H147" s="3" t="s">
        <v>26</v>
      </c>
      <c r="I147" s="3" t="s">
        <v>27</v>
      </c>
      <c r="J147" s="6" t="s">
        <v>40</v>
      </c>
      <c r="K147" s="2">
        <v>2026</v>
      </c>
      <c r="L147" s="3">
        <f t="shared" si="10"/>
        <v>157</v>
      </c>
      <c r="M147" s="3">
        <f t="shared" si="11"/>
        <v>35</v>
      </c>
      <c r="N147" s="3">
        <f t="shared" si="12"/>
        <v>79493</v>
      </c>
      <c r="O147" s="3">
        <f t="shared" si="13"/>
        <v>94195</v>
      </c>
      <c r="P147" s="3">
        <f t="shared" si="14"/>
        <v>-14702</v>
      </c>
    </row>
    <row r="148" spans="1:16">
      <c r="A148" s="3" t="s">
        <v>187</v>
      </c>
      <c r="B148" s="4">
        <v>46060</v>
      </c>
      <c r="C148" s="3" t="s">
        <v>37</v>
      </c>
      <c r="D148" s="3" t="s">
        <v>17</v>
      </c>
      <c r="E148" s="3" t="s">
        <v>25</v>
      </c>
      <c r="F148" s="3">
        <v>7615</v>
      </c>
      <c r="G148" s="3">
        <v>7689</v>
      </c>
      <c r="H148" s="3" t="s">
        <v>20</v>
      </c>
      <c r="I148" s="3" t="s">
        <v>39</v>
      </c>
      <c r="J148" s="6" t="s">
        <v>48</v>
      </c>
      <c r="K148" s="2">
        <v>2026</v>
      </c>
      <c r="L148" s="3">
        <f t="shared" si="10"/>
        <v>-74</v>
      </c>
      <c r="M148" s="3">
        <f t="shared" si="11"/>
        <v>34</v>
      </c>
      <c r="N148" s="3">
        <f t="shared" si="12"/>
        <v>78110</v>
      </c>
      <c r="O148" s="3">
        <f t="shared" si="13"/>
        <v>94195</v>
      </c>
      <c r="P148" s="3">
        <f t="shared" si="14"/>
        <v>-16085</v>
      </c>
    </row>
    <row r="149" spans="1:16">
      <c r="A149" s="3" t="s">
        <v>188</v>
      </c>
      <c r="B149" s="4">
        <v>46121</v>
      </c>
      <c r="C149" s="3" t="s">
        <v>37</v>
      </c>
      <c r="D149" s="3" t="s">
        <v>69</v>
      </c>
      <c r="E149" s="3" t="s">
        <v>19</v>
      </c>
      <c r="F149" s="3">
        <v>3684</v>
      </c>
      <c r="G149" s="3">
        <v>3933</v>
      </c>
      <c r="H149" s="3" t="s">
        <v>26</v>
      </c>
      <c r="I149" s="3" t="s">
        <v>21</v>
      </c>
      <c r="J149" s="6" t="s">
        <v>28</v>
      </c>
      <c r="K149" s="2">
        <v>2026</v>
      </c>
      <c r="L149" s="3">
        <f t="shared" si="10"/>
        <v>-249</v>
      </c>
      <c r="M149" s="3">
        <f t="shared" si="11"/>
        <v>33</v>
      </c>
      <c r="N149" s="3">
        <f t="shared" si="12"/>
        <v>70495</v>
      </c>
      <c r="O149" s="3">
        <f t="shared" si="13"/>
        <v>94195</v>
      </c>
      <c r="P149" s="3">
        <f t="shared" si="14"/>
        <v>-23700</v>
      </c>
    </row>
    <row r="150" spans="1:16">
      <c r="A150" s="3" t="s">
        <v>189</v>
      </c>
      <c r="B150" s="4">
        <v>46034</v>
      </c>
      <c r="C150" s="3" t="s">
        <v>30</v>
      </c>
      <c r="D150" s="3" t="s">
        <v>69</v>
      </c>
      <c r="E150" s="3" t="s">
        <v>19</v>
      </c>
      <c r="F150" s="3">
        <v>1540</v>
      </c>
      <c r="G150" s="3">
        <v>1497</v>
      </c>
      <c r="H150" s="3" t="s">
        <v>32</v>
      </c>
      <c r="I150" s="3" t="s">
        <v>39</v>
      </c>
      <c r="J150" s="6" t="s">
        <v>42</v>
      </c>
      <c r="K150" s="2">
        <v>2026</v>
      </c>
      <c r="L150" s="3">
        <f t="shared" si="10"/>
        <v>43</v>
      </c>
      <c r="M150" s="3">
        <f t="shared" si="11"/>
        <v>32</v>
      </c>
      <c r="N150" s="3">
        <f t="shared" si="12"/>
        <v>70495</v>
      </c>
      <c r="O150" s="3">
        <f t="shared" si="13"/>
        <v>90511</v>
      </c>
      <c r="P150" s="3">
        <f t="shared" si="14"/>
        <v>-20016</v>
      </c>
    </row>
    <row r="151" spans="1:16">
      <c r="A151" s="3" t="s">
        <v>190</v>
      </c>
      <c r="B151" s="4">
        <v>46194</v>
      </c>
      <c r="C151" s="3" t="s">
        <v>24</v>
      </c>
      <c r="D151" s="3" t="s">
        <v>50</v>
      </c>
      <c r="E151" s="3" t="s">
        <v>19</v>
      </c>
      <c r="F151" s="3">
        <v>5324</v>
      </c>
      <c r="G151" s="3">
        <v>5551</v>
      </c>
      <c r="H151" s="3" t="s">
        <v>26</v>
      </c>
      <c r="I151" s="3" t="s">
        <v>39</v>
      </c>
      <c r="J151" s="6" t="s">
        <v>40</v>
      </c>
      <c r="K151" s="2">
        <v>2026</v>
      </c>
      <c r="L151" s="3">
        <f t="shared" si="10"/>
        <v>-227</v>
      </c>
      <c r="M151" s="3">
        <f t="shared" si="11"/>
        <v>31</v>
      </c>
      <c r="N151" s="3">
        <f t="shared" si="12"/>
        <v>70495</v>
      </c>
      <c r="O151" s="3">
        <f t="shared" si="13"/>
        <v>88971</v>
      </c>
      <c r="P151" s="3">
        <f t="shared" si="14"/>
        <v>-18476</v>
      </c>
    </row>
    <row r="152" spans="1:16">
      <c r="A152" s="3" t="s">
        <v>191</v>
      </c>
      <c r="B152" s="4">
        <v>46076</v>
      </c>
      <c r="C152" s="3" t="s">
        <v>30</v>
      </c>
      <c r="D152" s="3" t="s">
        <v>69</v>
      </c>
      <c r="E152" s="3" t="s">
        <v>19</v>
      </c>
      <c r="F152" s="3">
        <v>2721</v>
      </c>
      <c r="G152" s="3">
        <v>2545</v>
      </c>
      <c r="H152" s="3" t="s">
        <v>20</v>
      </c>
      <c r="I152" s="3" t="s">
        <v>27</v>
      </c>
      <c r="J152" s="6" t="s">
        <v>48</v>
      </c>
      <c r="K152" s="2">
        <v>2026</v>
      </c>
      <c r="L152" s="3">
        <f t="shared" si="10"/>
        <v>176</v>
      </c>
      <c r="M152" s="3">
        <f t="shared" si="11"/>
        <v>30</v>
      </c>
      <c r="N152" s="3">
        <f t="shared" si="12"/>
        <v>70495</v>
      </c>
      <c r="O152" s="3">
        <f t="shared" si="13"/>
        <v>83647</v>
      </c>
      <c r="P152" s="3">
        <f t="shared" si="14"/>
        <v>-13152</v>
      </c>
    </row>
    <row r="153" spans="1:16">
      <c r="A153" s="3" t="s">
        <v>192</v>
      </c>
      <c r="B153" s="4">
        <v>46177</v>
      </c>
      <c r="C153" s="3" t="s">
        <v>30</v>
      </c>
      <c r="D153" s="3" t="s">
        <v>18</v>
      </c>
      <c r="E153" s="3" t="s">
        <v>19</v>
      </c>
      <c r="F153" s="3">
        <v>3825</v>
      </c>
      <c r="G153" s="3">
        <v>4422</v>
      </c>
      <c r="H153" s="3" t="s">
        <v>20</v>
      </c>
      <c r="I153" s="3" t="s">
        <v>27</v>
      </c>
      <c r="J153" s="6" t="s">
        <v>40</v>
      </c>
      <c r="K153" s="2">
        <v>2026</v>
      </c>
      <c r="L153" s="3">
        <f t="shared" si="10"/>
        <v>-597</v>
      </c>
      <c r="M153" s="3">
        <f t="shared" si="11"/>
        <v>29</v>
      </c>
      <c r="N153" s="3">
        <f t="shared" si="12"/>
        <v>70495</v>
      </c>
      <c r="O153" s="3">
        <f t="shared" si="13"/>
        <v>80926</v>
      </c>
      <c r="P153" s="3">
        <f t="shared" si="14"/>
        <v>-10431</v>
      </c>
    </row>
    <row r="154" spans="1:16">
      <c r="A154" s="3" t="s">
        <v>193</v>
      </c>
      <c r="B154" s="4">
        <v>46161</v>
      </c>
      <c r="C154" s="3" t="s">
        <v>30</v>
      </c>
      <c r="D154" s="3" t="s">
        <v>47</v>
      </c>
      <c r="E154" s="3" t="s">
        <v>25</v>
      </c>
      <c r="F154" s="3">
        <v>3143</v>
      </c>
      <c r="G154" s="3">
        <v>2757</v>
      </c>
      <c r="H154" s="3" t="s">
        <v>32</v>
      </c>
      <c r="I154" s="3" t="s">
        <v>21</v>
      </c>
      <c r="J154" s="6" t="s">
        <v>33</v>
      </c>
      <c r="K154" s="2">
        <v>2026</v>
      </c>
      <c r="L154" s="3">
        <f t="shared" si="10"/>
        <v>386</v>
      </c>
      <c r="M154" s="3">
        <f t="shared" si="11"/>
        <v>28</v>
      </c>
      <c r="N154" s="3">
        <f t="shared" si="12"/>
        <v>70495</v>
      </c>
      <c r="O154" s="3">
        <f t="shared" si="13"/>
        <v>77101</v>
      </c>
      <c r="P154" s="3">
        <f t="shared" si="14"/>
        <v>-6606</v>
      </c>
    </row>
    <row r="155" spans="1:16">
      <c r="A155" s="3" t="s">
        <v>194</v>
      </c>
      <c r="B155" s="4">
        <v>46054</v>
      </c>
      <c r="C155" s="3" t="s">
        <v>24</v>
      </c>
      <c r="D155" s="3" t="s">
        <v>38</v>
      </c>
      <c r="E155" s="3" t="s">
        <v>19</v>
      </c>
      <c r="F155" s="3">
        <v>4235</v>
      </c>
      <c r="G155" s="3">
        <v>4168</v>
      </c>
      <c r="H155" s="3" t="s">
        <v>26</v>
      </c>
      <c r="I155" s="3" t="s">
        <v>27</v>
      </c>
      <c r="J155" s="6" t="s">
        <v>48</v>
      </c>
      <c r="K155" s="2">
        <v>2026</v>
      </c>
      <c r="L155" s="3">
        <f t="shared" si="10"/>
        <v>67</v>
      </c>
      <c r="M155" s="3">
        <f t="shared" si="11"/>
        <v>27</v>
      </c>
      <c r="N155" s="3">
        <f t="shared" si="12"/>
        <v>67352</v>
      </c>
      <c r="O155" s="3">
        <f t="shared" si="13"/>
        <v>77101</v>
      </c>
      <c r="P155" s="3">
        <f t="shared" si="14"/>
        <v>-9749</v>
      </c>
    </row>
    <row r="156" spans="1:16">
      <c r="A156" s="3" t="s">
        <v>195</v>
      </c>
      <c r="B156" s="4">
        <v>46037</v>
      </c>
      <c r="C156" s="3" t="s">
        <v>17</v>
      </c>
      <c r="D156" s="3" t="s">
        <v>69</v>
      </c>
      <c r="E156" s="3" t="s">
        <v>19</v>
      </c>
      <c r="F156" s="3">
        <v>5660</v>
      </c>
      <c r="G156" s="3">
        <v>5249</v>
      </c>
      <c r="H156" s="3" t="s">
        <v>32</v>
      </c>
      <c r="I156" s="3" t="s">
        <v>21</v>
      </c>
      <c r="J156" s="6" t="s">
        <v>42</v>
      </c>
      <c r="K156" s="2">
        <v>2026</v>
      </c>
      <c r="L156" s="3">
        <f t="shared" si="10"/>
        <v>411</v>
      </c>
      <c r="M156" s="3">
        <f t="shared" si="11"/>
        <v>26</v>
      </c>
      <c r="N156" s="3">
        <f t="shared" si="12"/>
        <v>67352</v>
      </c>
      <c r="O156" s="3">
        <f t="shared" si="13"/>
        <v>72866</v>
      </c>
      <c r="P156" s="3">
        <f t="shared" si="14"/>
        <v>-5514</v>
      </c>
    </row>
    <row r="157" spans="1:16">
      <c r="A157" s="3" t="s">
        <v>196</v>
      </c>
      <c r="B157" s="4">
        <v>46196</v>
      </c>
      <c r="C157" s="3" t="s">
        <v>30</v>
      </c>
      <c r="D157" s="3" t="s">
        <v>47</v>
      </c>
      <c r="E157" s="3" t="s">
        <v>25</v>
      </c>
      <c r="F157" s="3">
        <v>12054</v>
      </c>
      <c r="G157" s="3">
        <v>11279</v>
      </c>
      <c r="H157" s="3" t="s">
        <v>20</v>
      </c>
      <c r="I157" s="3" t="s">
        <v>27</v>
      </c>
      <c r="J157" s="6" t="s">
        <v>40</v>
      </c>
      <c r="K157" s="2">
        <v>2026</v>
      </c>
      <c r="L157" s="3">
        <f t="shared" si="10"/>
        <v>775</v>
      </c>
      <c r="M157" s="3">
        <f t="shared" si="11"/>
        <v>25</v>
      </c>
      <c r="N157" s="3">
        <f t="shared" si="12"/>
        <v>67352</v>
      </c>
      <c r="O157" s="3">
        <f t="shared" si="13"/>
        <v>67206</v>
      </c>
      <c r="P157" s="3">
        <f t="shared" si="14"/>
        <v>146</v>
      </c>
    </row>
    <row r="158" spans="1:16">
      <c r="A158" s="3" t="s">
        <v>197</v>
      </c>
      <c r="B158" s="4">
        <v>46180</v>
      </c>
      <c r="C158" s="3" t="s">
        <v>37</v>
      </c>
      <c r="D158" s="3" t="s">
        <v>69</v>
      </c>
      <c r="E158" s="3" t="s">
        <v>19</v>
      </c>
      <c r="F158" s="3">
        <v>5134</v>
      </c>
      <c r="G158" s="3">
        <v>5827</v>
      </c>
      <c r="H158" s="3" t="s">
        <v>20</v>
      </c>
      <c r="I158" s="3" t="s">
        <v>21</v>
      </c>
      <c r="J158" s="6" t="s">
        <v>40</v>
      </c>
      <c r="K158" s="2">
        <v>2026</v>
      </c>
      <c r="L158" s="3">
        <f t="shared" si="10"/>
        <v>-693</v>
      </c>
      <c r="M158" s="3">
        <f t="shared" si="11"/>
        <v>24</v>
      </c>
      <c r="N158" s="3">
        <f t="shared" si="12"/>
        <v>55298</v>
      </c>
      <c r="O158" s="3">
        <f t="shared" si="13"/>
        <v>67206</v>
      </c>
      <c r="P158" s="3">
        <f t="shared" si="14"/>
        <v>-11908</v>
      </c>
    </row>
    <row r="159" spans="1:16">
      <c r="A159" s="3" t="s">
        <v>198</v>
      </c>
      <c r="B159" s="4">
        <v>46154</v>
      </c>
      <c r="C159" s="3" t="s">
        <v>30</v>
      </c>
      <c r="D159" s="3" t="s">
        <v>17</v>
      </c>
      <c r="E159" s="3" t="s">
        <v>25</v>
      </c>
      <c r="F159" s="3">
        <v>10160</v>
      </c>
      <c r="G159" s="3">
        <v>9570</v>
      </c>
      <c r="H159" s="3" t="s">
        <v>20</v>
      </c>
      <c r="I159" s="3" t="s">
        <v>39</v>
      </c>
      <c r="J159" s="6" t="s">
        <v>33</v>
      </c>
      <c r="K159" s="2">
        <v>2026</v>
      </c>
      <c r="L159" s="3">
        <f t="shared" si="10"/>
        <v>590</v>
      </c>
      <c r="M159" s="3">
        <f t="shared" si="11"/>
        <v>23</v>
      </c>
      <c r="N159" s="3">
        <f t="shared" si="12"/>
        <v>55298</v>
      </c>
      <c r="O159" s="3">
        <f t="shared" si="13"/>
        <v>62072</v>
      </c>
      <c r="P159" s="3">
        <f t="shared" si="14"/>
        <v>-6774</v>
      </c>
    </row>
    <row r="160" spans="1:16">
      <c r="A160" s="3" t="s">
        <v>199</v>
      </c>
      <c r="B160" s="4">
        <v>46177</v>
      </c>
      <c r="C160" s="3" t="s">
        <v>17</v>
      </c>
      <c r="D160" s="3" t="s">
        <v>18</v>
      </c>
      <c r="E160" s="3" t="s">
        <v>19</v>
      </c>
      <c r="F160" s="3">
        <v>5103</v>
      </c>
      <c r="G160" s="3">
        <v>5188</v>
      </c>
      <c r="H160" s="3" t="s">
        <v>20</v>
      </c>
      <c r="I160" s="3" t="s">
        <v>27</v>
      </c>
      <c r="J160" s="6" t="s">
        <v>40</v>
      </c>
      <c r="K160" s="2">
        <v>2026</v>
      </c>
      <c r="L160" s="3">
        <f t="shared" si="10"/>
        <v>-85</v>
      </c>
      <c r="M160" s="3">
        <f t="shared" si="11"/>
        <v>22</v>
      </c>
      <c r="N160" s="3">
        <f t="shared" si="12"/>
        <v>45138</v>
      </c>
      <c r="O160" s="3">
        <f t="shared" si="13"/>
        <v>62072</v>
      </c>
      <c r="P160" s="3">
        <f t="shared" si="14"/>
        <v>-16934</v>
      </c>
    </row>
    <row r="161" spans="1:16">
      <c r="A161" s="3" t="s">
        <v>200</v>
      </c>
      <c r="B161" s="4">
        <v>46067</v>
      </c>
      <c r="C161" s="3" t="s">
        <v>24</v>
      </c>
      <c r="D161" s="3" t="s">
        <v>17</v>
      </c>
      <c r="E161" s="3" t="s">
        <v>25</v>
      </c>
      <c r="F161" s="3">
        <v>10293</v>
      </c>
      <c r="G161" s="3">
        <v>10574</v>
      </c>
      <c r="H161" s="3" t="s">
        <v>20</v>
      </c>
      <c r="I161" s="3" t="s">
        <v>39</v>
      </c>
      <c r="J161" s="6" t="s">
        <v>48</v>
      </c>
      <c r="K161" s="2">
        <v>2026</v>
      </c>
      <c r="L161" s="3">
        <f t="shared" si="10"/>
        <v>-281</v>
      </c>
      <c r="M161" s="3">
        <f t="shared" si="11"/>
        <v>21</v>
      </c>
      <c r="N161" s="3">
        <f t="shared" si="12"/>
        <v>45138</v>
      </c>
      <c r="O161" s="3">
        <f t="shared" si="13"/>
        <v>56969</v>
      </c>
      <c r="P161" s="3">
        <f t="shared" si="14"/>
        <v>-11831</v>
      </c>
    </row>
    <row r="162" spans="1:16">
      <c r="A162" s="3" t="s">
        <v>201</v>
      </c>
      <c r="B162" s="4">
        <v>46118</v>
      </c>
      <c r="C162" s="3" t="s">
        <v>37</v>
      </c>
      <c r="D162" s="3" t="s">
        <v>18</v>
      </c>
      <c r="E162" s="3" t="s">
        <v>19</v>
      </c>
      <c r="F162" s="3">
        <v>4714</v>
      </c>
      <c r="G162" s="3">
        <v>4987</v>
      </c>
      <c r="H162" s="3" t="s">
        <v>20</v>
      </c>
      <c r="I162" s="3" t="s">
        <v>21</v>
      </c>
      <c r="J162" s="6" t="s">
        <v>28</v>
      </c>
      <c r="K162" s="2">
        <v>2026</v>
      </c>
      <c r="L162" s="3">
        <f t="shared" si="10"/>
        <v>-273</v>
      </c>
      <c r="M162" s="3">
        <f t="shared" si="11"/>
        <v>20</v>
      </c>
      <c r="N162" s="3">
        <f t="shared" si="12"/>
        <v>34845</v>
      </c>
      <c r="O162" s="3">
        <f t="shared" si="13"/>
        <v>56969</v>
      </c>
      <c r="P162" s="3">
        <f t="shared" si="14"/>
        <v>-22124</v>
      </c>
    </row>
    <row r="163" spans="1:16">
      <c r="A163" s="3" t="s">
        <v>202</v>
      </c>
      <c r="B163" s="4">
        <v>46103</v>
      </c>
      <c r="C163" s="3" t="s">
        <v>24</v>
      </c>
      <c r="D163" s="3" t="s">
        <v>38</v>
      </c>
      <c r="E163" s="3" t="s">
        <v>19</v>
      </c>
      <c r="F163" s="3">
        <v>6392</v>
      </c>
      <c r="G163" s="3">
        <v>7327</v>
      </c>
      <c r="H163" s="3" t="s">
        <v>20</v>
      </c>
      <c r="I163" s="3" t="s">
        <v>27</v>
      </c>
      <c r="J163" s="6" t="s">
        <v>22</v>
      </c>
      <c r="K163" s="2">
        <v>2026</v>
      </c>
      <c r="L163" s="3">
        <f t="shared" si="10"/>
        <v>-935</v>
      </c>
      <c r="M163" s="3">
        <f t="shared" si="11"/>
        <v>19</v>
      </c>
      <c r="N163" s="3">
        <f t="shared" si="12"/>
        <v>34845</v>
      </c>
      <c r="O163" s="3">
        <f t="shared" si="13"/>
        <v>52255</v>
      </c>
      <c r="P163" s="3">
        <f t="shared" si="14"/>
        <v>-17410</v>
      </c>
    </row>
    <row r="164" spans="1:16">
      <c r="A164" s="3" t="s">
        <v>203</v>
      </c>
      <c r="B164" s="4">
        <v>46196</v>
      </c>
      <c r="C164" s="3" t="s">
        <v>17</v>
      </c>
      <c r="D164" s="3" t="s">
        <v>69</v>
      </c>
      <c r="E164" s="3" t="s">
        <v>19</v>
      </c>
      <c r="F164" s="3">
        <v>2674</v>
      </c>
      <c r="G164" s="3">
        <v>2382</v>
      </c>
      <c r="H164" s="3" t="s">
        <v>32</v>
      </c>
      <c r="I164" s="3" t="s">
        <v>39</v>
      </c>
      <c r="J164" s="6" t="s">
        <v>40</v>
      </c>
      <c r="K164" s="2">
        <v>2026</v>
      </c>
      <c r="L164" s="3">
        <f t="shared" si="10"/>
        <v>292</v>
      </c>
      <c r="M164" s="3">
        <f t="shared" si="11"/>
        <v>18</v>
      </c>
      <c r="N164" s="3">
        <f t="shared" si="12"/>
        <v>34845</v>
      </c>
      <c r="O164" s="3">
        <f t="shared" si="13"/>
        <v>45863</v>
      </c>
      <c r="P164" s="3">
        <f t="shared" si="14"/>
        <v>-11018</v>
      </c>
    </row>
    <row r="165" spans="1:16">
      <c r="A165" s="3" t="s">
        <v>204</v>
      </c>
      <c r="B165" s="4">
        <v>46099</v>
      </c>
      <c r="C165" s="3" t="s">
        <v>30</v>
      </c>
      <c r="D165" s="3" t="s">
        <v>69</v>
      </c>
      <c r="E165" s="3" t="s">
        <v>19</v>
      </c>
      <c r="F165" s="3">
        <v>5242</v>
      </c>
      <c r="G165" s="3">
        <v>5771</v>
      </c>
      <c r="H165" s="3" t="s">
        <v>20</v>
      </c>
      <c r="I165" s="3" t="s">
        <v>27</v>
      </c>
      <c r="J165" s="6" t="s">
        <v>22</v>
      </c>
      <c r="K165" s="2">
        <v>2026</v>
      </c>
      <c r="L165" s="3">
        <f t="shared" si="10"/>
        <v>-529</v>
      </c>
      <c r="M165" s="3">
        <f t="shared" si="11"/>
        <v>17</v>
      </c>
      <c r="N165" s="3">
        <f t="shared" si="12"/>
        <v>34845</v>
      </c>
      <c r="O165" s="3">
        <f t="shared" si="13"/>
        <v>43189</v>
      </c>
      <c r="P165" s="3">
        <f t="shared" si="14"/>
        <v>-8344</v>
      </c>
    </row>
    <row r="166" spans="1:16">
      <c r="A166" s="3" t="s">
        <v>205</v>
      </c>
      <c r="B166" s="4">
        <v>46040</v>
      </c>
      <c r="C166" s="3" t="s">
        <v>24</v>
      </c>
      <c r="D166" s="3" t="s">
        <v>31</v>
      </c>
      <c r="E166" s="3" t="s">
        <v>19</v>
      </c>
      <c r="F166" s="3">
        <v>1645</v>
      </c>
      <c r="G166" s="3">
        <v>1827</v>
      </c>
      <c r="H166" s="3" t="s">
        <v>20</v>
      </c>
      <c r="I166" s="3" t="s">
        <v>21</v>
      </c>
      <c r="J166" s="6" t="s">
        <v>42</v>
      </c>
      <c r="K166" s="2">
        <v>2026</v>
      </c>
      <c r="L166" s="3">
        <f t="shared" si="10"/>
        <v>-182</v>
      </c>
      <c r="M166" s="3">
        <f t="shared" si="11"/>
        <v>16</v>
      </c>
      <c r="N166" s="3">
        <f t="shared" si="12"/>
        <v>34845</v>
      </c>
      <c r="O166" s="3">
        <f t="shared" si="13"/>
        <v>37947</v>
      </c>
      <c r="P166" s="3">
        <f t="shared" si="14"/>
        <v>-3102</v>
      </c>
    </row>
    <row r="167" spans="1:16">
      <c r="A167" s="3" t="s">
        <v>206</v>
      </c>
      <c r="B167" s="4">
        <v>46200</v>
      </c>
      <c r="C167" s="3" t="s">
        <v>24</v>
      </c>
      <c r="D167" s="3" t="s">
        <v>47</v>
      </c>
      <c r="E167" s="3" t="s">
        <v>25</v>
      </c>
      <c r="F167" s="3">
        <v>4362</v>
      </c>
      <c r="G167" s="3">
        <v>4058</v>
      </c>
      <c r="H167" s="3" t="s">
        <v>26</v>
      </c>
      <c r="I167" s="3" t="s">
        <v>27</v>
      </c>
      <c r="J167" s="6" t="s">
        <v>40</v>
      </c>
      <c r="K167" s="2">
        <v>2026</v>
      </c>
      <c r="L167" s="3">
        <f t="shared" si="10"/>
        <v>304</v>
      </c>
      <c r="M167" s="3">
        <f t="shared" si="11"/>
        <v>15</v>
      </c>
      <c r="N167" s="3">
        <f t="shared" si="12"/>
        <v>34845</v>
      </c>
      <c r="O167" s="3">
        <f t="shared" si="13"/>
        <v>36302</v>
      </c>
      <c r="P167" s="3">
        <f t="shared" si="14"/>
        <v>-1457</v>
      </c>
    </row>
    <row r="168" spans="1:16">
      <c r="A168" s="3" t="s">
        <v>207</v>
      </c>
      <c r="B168" s="4">
        <v>46188</v>
      </c>
      <c r="C168" s="3" t="s">
        <v>24</v>
      </c>
      <c r="D168" s="3" t="s">
        <v>35</v>
      </c>
      <c r="E168" s="3" t="s">
        <v>19</v>
      </c>
      <c r="F168" s="3">
        <v>2110</v>
      </c>
      <c r="G168" s="3">
        <v>2032</v>
      </c>
      <c r="H168" s="3" t="s">
        <v>20</v>
      </c>
      <c r="I168" s="3" t="s">
        <v>27</v>
      </c>
      <c r="J168" s="6" t="s">
        <v>40</v>
      </c>
      <c r="K168" s="2">
        <v>2026</v>
      </c>
      <c r="L168" s="3">
        <f t="shared" si="10"/>
        <v>78</v>
      </c>
      <c r="M168" s="3">
        <f t="shared" si="11"/>
        <v>14</v>
      </c>
      <c r="N168" s="3">
        <f t="shared" si="12"/>
        <v>30483</v>
      </c>
      <c r="O168" s="3">
        <f t="shared" si="13"/>
        <v>36302</v>
      </c>
      <c r="P168" s="3">
        <f t="shared" si="14"/>
        <v>-5819</v>
      </c>
    </row>
    <row r="169" spans="1:16">
      <c r="A169" s="3" t="s">
        <v>208</v>
      </c>
      <c r="B169" s="4">
        <v>46067</v>
      </c>
      <c r="C169" s="3" t="s">
        <v>30</v>
      </c>
      <c r="D169" s="3" t="s">
        <v>69</v>
      </c>
      <c r="E169" s="3" t="s">
        <v>19</v>
      </c>
      <c r="F169" s="3">
        <v>5708</v>
      </c>
      <c r="G169" s="3">
        <v>6209</v>
      </c>
      <c r="H169" s="3" t="s">
        <v>32</v>
      </c>
      <c r="I169" s="3" t="s">
        <v>21</v>
      </c>
      <c r="J169" s="6" t="s">
        <v>48</v>
      </c>
      <c r="K169" s="2">
        <v>2026</v>
      </c>
      <c r="L169" s="3">
        <f t="shared" si="10"/>
        <v>-501</v>
      </c>
      <c r="M169" s="3">
        <f t="shared" si="11"/>
        <v>13</v>
      </c>
      <c r="N169" s="3">
        <f t="shared" si="12"/>
        <v>30483</v>
      </c>
      <c r="O169" s="3">
        <f t="shared" si="13"/>
        <v>34192</v>
      </c>
      <c r="P169" s="3">
        <f t="shared" si="14"/>
        <v>-3709</v>
      </c>
    </row>
    <row r="170" spans="1:16">
      <c r="A170" s="3" t="s">
        <v>209</v>
      </c>
      <c r="B170" s="4">
        <v>46140</v>
      </c>
      <c r="C170" s="3" t="s">
        <v>17</v>
      </c>
      <c r="D170" s="3" t="s">
        <v>50</v>
      </c>
      <c r="E170" s="3" t="s">
        <v>19</v>
      </c>
      <c r="F170" s="3">
        <v>2202</v>
      </c>
      <c r="G170" s="3">
        <v>2252</v>
      </c>
      <c r="H170" s="3" t="s">
        <v>20</v>
      </c>
      <c r="I170" s="3" t="s">
        <v>27</v>
      </c>
      <c r="J170" s="6" t="s">
        <v>28</v>
      </c>
      <c r="K170" s="2">
        <v>2026</v>
      </c>
      <c r="L170" s="3">
        <f t="shared" si="10"/>
        <v>-50</v>
      </c>
      <c r="M170" s="3">
        <f t="shared" si="11"/>
        <v>12</v>
      </c>
      <c r="N170" s="3">
        <f t="shared" si="12"/>
        <v>30483</v>
      </c>
      <c r="O170" s="3">
        <f t="shared" si="13"/>
        <v>28484</v>
      </c>
      <c r="P170" s="3">
        <f t="shared" si="14"/>
        <v>1999</v>
      </c>
    </row>
    <row r="171" spans="1:16">
      <c r="A171" s="3" t="s">
        <v>210</v>
      </c>
      <c r="B171" s="4">
        <v>46155</v>
      </c>
      <c r="C171" s="3" t="s">
        <v>17</v>
      </c>
      <c r="D171" s="3" t="s">
        <v>31</v>
      </c>
      <c r="E171" s="3" t="s">
        <v>19</v>
      </c>
      <c r="F171" s="3">
        <v>6176</v>
      </c>
      <c r="G171" s="3">
        <v>5747</v>
      </c>
      <c r="H171" s="3" t="s">
        <v>20</v>
      </c>
      <c r="I171" s="3" t="s">
        <v>39</v>
      </c>
      <c r="J171" s="6" t="s">
        <v>33</v>
      </c>
      <c r="K171" s="2">
        <v>2026</v>
      </c>
      <c r="L171" s="3">
        <f t="shared" si="10"/>
        <v>429</v>
      </c>
      <c r="M171" s="3">
        <f t="shared" si="11"/>
        <v>11</v>
      </c>
      <c r="N171" s="3">
        <f t="shared" si="12"/>
        <v>30483</v>
      </c>
      <c r="O171" s="3">
        <f t="shared" si="13"/>
        <v>26282</v>
      </c>
      <c r="P171" s="3">
        <f t="shared" si="14"/>
        <v>4201</v>
      </c>
    </row>
    <row r="172" spans="1:16">
      <c r="A172" s="3" t="s">
        <v>211</v>
      </c>
      <c r="B172" s="4">
        <v>46140</v>
      </c>
      <c r="C172" s="3" t="s">
        <v>30</v>
      </c>
      <c r="D172" s="3" t="s">
        <v>47</v>
      </c>
      <c r="E172" s="3" t="s">
        <v>25</v>
      </c>
      <c r="F172" s="3">
        <v>16199</v>
      </c>
      <c r="G172" s="3">
        <v>18623</v>
      </c>
      <c r="H172" s="3" t="s">
        <v>32</v>
      </c>
      <c r="I172" s="3" t="s">
        <v>21</v>
      </c>
      <c r="J172" s="6" t="s">
        <v>28</v>
      </c>
      <c r="K172" s="2">
        <v>2026</v>
      </c>
      <c r="L172" s="3">
        <f t="shared" si="10"/>
        <v>-2424</v>
      </c>
      <c r="M172" s="3">
        <f t="shared" si="11"/>
        <v>10</v>
      </c>
      <c r="N172" s="3">
        <f t="shared" si="12"/>
        <v>30483</v>
      </c>
      <c r="O172" s="3">
        <f t="shared" si="13"/>
        <v>20106</v>
      </c>
      <c r="P172" s="3">
        <f t="shared" si="14"/>
        <v>10377</v>
      </c>
    </row>
    <row r="173" spans="1:16">
      <c r="A173" s="3" t="s">
        <v>212</v>
      </c>
      <c r="B173" s="4">
        <v>46101</v>
      </c>
      <c r="C173" s="3" t="s">
        <v>24</v>
      </c>
      <c r="D173" s="3" t="s">
        <v>47</v>
      </c>
      <c r="E173" s="3" t="s">
        <v>25</v>
      </c>
      <c r="F173" s="3">
        <v>5728</v>
      </c>
      <c r="G173" s="3">
        <v>6272</v>
      </c>
      <c r="H173" s="3" t="s">
        <v>26</v>
      </c>
      <c r="I173" s="3" t="s">
        <v>27</v>
      </c>
      <c r="J173" s="6" t="s">
        <v>22</v>
      </c>
      <c r="K173" s="2">
        <v>2026</v>
      </c>
      <c r="L173" s="3">
        <f t="shared" si="10"/>
        <v>-544</v>
      </c>
      <c r="M173" s="3">
        <f t="shared" si="11"/>
        <v>9</v>
      </c>
      <c r="N173" s="3">
        <f t="shared" si="12"/>
        <v>14284</v>
      </c>
      <c r="O173" s="3">
        <f t="shared" si="13"/>
        <v>20106</v>
      </c>
      <c r="P173" s="3">
        <f t="shared" si="14"/>
        <v>-5822</v>
      </c>
    </row>
    <row r="174" spans="1:16">
      <c r="A174" s="3" t="s">
        <v>213</v>
      </c>
      <c r="B174" s="4">
        <v>46129</v>
      </c>
      <c r="C174" s="3" t="s">
        <v>17</v>
      </c>
      <c r="D174" s="3" t="s">
        <v>69</v>
      </c>
      <c r="E174" s="3" t="s">
        <v>19</v>
      </c>
      <c r="F174" s="3">
        <v>4093</v>
      </c>
      <c r="G174" s="3">
        <v>4304</v>
      </c>
      <c r="H174" s="3" t="s">
        <v>32</v>
      </c>
      <c r="I174" s="3" t="s">
        <v>21</v>
      </c>
      <c r="J174" s="6" t="s">
        <v>28</v>
      </c>
      <c r="K174" s="2">
        <v>2026</v>
      </c>
      <c r="L174" s="3">
        <f t="shared" si="10"/>
        <v>-211</v>
      </c>
      <c r="M174" s="3">
        <f t="shared" si="11"/>
        <v>8</v>
      </c>
      <c r="N174" s="3">
        <f t="shared" si="12"/>
        <v>8556</v>
      </c>
      <c r="O174" s="3">
        <f t="shared" si="13"/>
        <v>20106</v>
      </c>
      <c r="P174" s="3">
        <f t="shared" si="14"/>
        <v>-11550</v>
      </c>
    </row>
    <row r="175" spans="1:16">
      <c r="A175" s="3" t="s">
        <v>214</v>
      </c>
      <c r="B175" s="4">
        <v>46190</v>
      </c>
      <c r="C175" s="3" t="s">
        <v>37</v>
      </c>
      <c r="D175" s="3" t="s">
        <v>50</v>
      </c>
      <c r="E175" s="3" t="s">
        <v>19</v>
      </c>
      <c r="F175" s="3">
        <v>6214</v>
      </c>
      <c r="G175" s="3">
        <v>6615</v>
      </c>
      <c r="H175" s="3" t="s">
        <v>32</v>
      </c>
      <c r="I175" s="3" t="s">
        <v>39</v>
      </c>
      <c r="J175" s="6" t="s">
        <v>40</v>
      </c>
      <c r="K175" s="2">
        <v>2026</v>
      </c>
      <c r="L175" s="3">
        <f t="shared" si="10"/>
        <v>-401</v>
      </c>
      <c r="M175" s="3">
        <f t="shared" si="11"/>
        <v>7</v>
      </c>
      <c r="N175" s="3">
        <f t="shared" si="12"/>
        <v>8556</v>
      </c>
      <c r="O175" s="3">
        <f t="shared" si="13"/>
        <v>16013</v>
      </c>
      <c r="P175" s="3">
        <f t="shared" si="14"/>
        <v>-7457</v>
      </c>
    </row>
    <row r="176" spans="1:16">
      <c r="A176" s="3" t="s">
        <v>215</v>
      </c>
      <c r="B176" s="4">
        <v>46137</v>
      </c>
      <c r="C176" s="3" t="s">
        <v>30</v>
      </c>
      <c r="D176" s="3" t="s">
        <v>50</v>
      </c>
      <c r="E176" s="3" t="s">
        <v>19</v>
      </c>
      <c r="F176" s="3">
        <v>321</v>
      </c>
      <c r="G176" s="3">
        <v>311</v>
      </c>
      <c r="H176" s="3" t="s">
        <v>32</v>
      </c>
      <c r="I176" s="3" t="s">
        <v>27</v>
      </c>
      <c r="J176" s="6" t="s">
        <v>28</v>
      </c>
      <c r="K176" s="2">
        <v>2026</v>
      </c>
      <c r="L176" s="3">
        <f t="shared" si="10"/>
        <v>10</v>
      </c>
      <c r="M176" s="3">
        <f t="shared" si="11"/>
        <v>6</v>
      </c>
      <c r="N176" s="3">
        <f t="shared" si="12"/>
        <v>8556</v>
      </c>
      <c r="O176" s="3">
        <f t="shared" si="13"/>
        <v>9799</v>
      </c>
      <c r="P176" s="3">
        <f t="shared" si="14"/>
        <v>-1243</v>
      </c>
    </row>
    <row r="177" spans="1:16">
      <c r="A177" s="3" t="s">
        <v>216</v>
      </c>
      <c r="B177" s="4">
        <v>46064</v>
      </c>
      <c r="C177" s="3" t="s">
        <v>17</v>
      </c>
      <c r="D177" s="3" t="s">
        <v>38</v>
      </c>
      <c r="E177" s="3" t="s">
        <v>19</v>
      </c>
      <c r="F177" s="3">
        <v>1280</v>
      </c>
      <c r="G177" s="3">
        <v>1521</v>
      </c>
      <c r="H177" s="3" t="s">
        <v>20</v>
      </c>
      <c r="I177" s="3" t="s">
        <v>27</v>
      </c>
      <c r="J177" s="6" t="s">
        <v>48</v>
      </c>
      <c r="K177" s="2">
        <v>2026</v>
      </c>
      <c r="L177" s="3">
        <f t="shared" si="10"/>
        <v>-241</v>
      </c>
      <c r="M177" s="3">
        <f t="shared" si="11"/>
        <v>5</v>
      </c>
      <c r="N177" s="3">
        <f t="shared" si="12"/>
        <v>8556</v>
      </c>
      <c r="O177" s="3">
        <f t="shared" si="13"/>
        <v>9478</v>
      </c>
      <c r="P177" s="3">
        <f t="shared" si="14"/>
        <v>-922</v>
      </c>
    </row>
    <row r="178" spans="1:16">
      <c r="A178" s="3" t="s">
        <v>217</v>
      </c>
      <c r="B178" s="4">
        <v>46079</v>
      </c>
      <c r="C178" s="3" t="s">
        <v>17</v>
      </c>
      <c r="D178" s="3" t="s">
        <v>69</v>
      </c>
      <c r="E178" s="3" t="s">
        <v>19</v>
      </c>
      <c r="F178" s="3">
        <v>1245</v>
      </c>
      <c r="G178" s="3">
        <v>1449</v>
      </c>
      <c r="H178" s="3" t="s">
        <v>26</v>
      </c>
      <c r="I178" s="3" t="s">
        <v>21</v>
      </c>
      <c r="J178" s="6" t="s">
        <v>48</v>
      </c>
      <c r="K178" s="2">
        <v>2026</v>
      </c>
      <c r="L178" s="3">
        <f t="shared" si="10"/>
        <v>-204</v>
      </c>
      <c r="M178" s="3">
        <f t="shared" si="11"/>
        <v>4</v>
      </c>
      <c r="N178" s="3">
        <f t="shared" si="12"/>
        <v>8556</v>
      </c>
      <c r="O178" s="3">
        <f t="shared" si="13"/>
        <v>8198</v>
      </c>
      <c r="P178" s="3">
        <f t="shared" si="14"/>
        <v>358</v>
      </c>
    </row>
    <row r="179" spans="1:16">
      <c r="A179" s="3" t="s">
        <v>218</v>
      </c>
      <c r="B179" s="4">
        <v>46045</v>
      </c>
      <c r="C179" s="3" t="s">
        <v>24</v>
      </c>
      <c r="D179" s="3" t="s">
        <v>17</v>
      </c>
      <c r="E179" s="3" t="s">
        <v>25</v>
      </c>
      <c r="F179" s="3">
        <v>8556</v>
      </c>
      <c r="G179" s="3">
        <v>9371</v>
      </c>
      <c r="H179" s="3" t="s">
        <v>26</v>
      </c>
      <c r="I179" s="3" t="s">
        <v>21</v>
      </c>
      <c r="J179" s="6" t="s">
        <v>42</v>
      </c>
      <c r="K179" s="2">
        <v>2026</v>
      </c>
      <c r="L179" s="3">
        <f t="shared" si="10"/>
        <v>-815</v>
      </c>
      <c r="M179" s="3">
        <f t="shared" si="11"/>
        <v>3</v>
      </c>
      <c r="N179" s="3">
        <f t="shared" si="12"/>
        <v>8556</v>
      </c>
      <c r="O179" s="3">
        <f t="shared" si="13"/>
        <v>6953</v>
      </c>
      <c r="P179" s="3">
        <f t="shared" si="14"/>
        <v>1603</v>
      </c>
    </row>
    <row r="180" spans="1:16">
      <c r="A180" s="3" t="s">
        <v>219</v>
      </c>
      <c r="B180" s="4">
        <v>46049</v>
      </c>
      <c r="C180" s="3" t="s">
        <v>24</v>
      </c>
      <c r="D180" s="3" t="s">
        <v>50</v>
      </c>
      <c r="E180" s="3" t="s">
        <v>19</v>
      </c>
      <c r="F180" s="3">
        <v>1841</v>
      </c>
      <c r="G180" s="3">
        <v>2105</v>
      </c>
      <c r="H180" s="3" t="s">
        <v>32</v>
      </c>
      <c r="I180" s="3" t="s">
        <v>21</v>
      </c>
      <c r="J180" s="6" t="s">
        <v>42</v>
      </c>
      <c r="K180" s="2">
        <v>2026</v>
      </c>
      <c r="L180" s="3">
        <f t="shared" si="10"/>
        <v>-264</v>
      </c>
      <c r="M180" s="3">
        <f t="shared" si="11"/>
        <v>2</v>
      </c>
      <c r="N180" s="3">
        <f t="shared" si="12"/>
        <v>0</v>
      </c>
      <c r="O180" s="3">
        <f t="shared" si="13"/>
        <v>6953</v>
      </c>
      <c r="P180" s="3">
        <f t="shared" si="14"/>
        <v>-6953</v>
      </c>
    </row>
    <row r="181" spans="1:16">
      <c r="A181" s="3" t="s">
        <v>220</v>
      </c>
      <c r="B181" s="4">
        <v>46113</v>
      </c>
      <c r="C181" s="3" t="s">
        <v>37</v>
      </c>
      <c r="D181" s="3" t="s">
        <v>18</v>
      </c>
      <c r="E181" s="3" t="s">
        <v>19</v>
      </c>
      <c r="F181" s="3">
        <v>5112</v>
      </c>
      <c r="G181" s="3">
        <v>5599</v>
      </c>
      <c r="H181" s="3" t="s">
        <v>26</v>
      </c>
      <c r="I181" s="3" t="s">
        <v>27</v>
      </c>
      <c r="J181" s="6" t="s">
        <v>28</v>
      </c>
      <c r="K181" s="2">
        <v>2026</v>
      </c>
      <c r="L181" s="3">
        <f t="shared" si="10"/>
        <v>-487</v>
      </c>
      <c r="M181" s="3">
        <f t="shared" si="11"/>
        <v>1</v>
      </c>
      <c r="N181" s="3">
        <f t="shared" si="12"/>
        <v>0</v>
      </c>
      <c r="O181" s="3">
        <f t="shared" si="13"/>
        <v>5112</v>
      </c>
      <c r="P181" s="3">
        <f t="shared" si="14"/>
        <v>-5112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44BC-169E-4B84-86AD-1C68FFCF76BD}">
  <dimension ref="A1:B10"/>
  <sheetViews>
    <sheetView workbookViewId="0">
      <selection activeCell="B6" sqref="B6"/>
    </sheetView>
  </sheetViews>
  <sheetFormatPr defaultRowHeight="15"/>
  <cols>
    <col min="1" max="1" width="14.140625" bestFit="1" customWidth="1"/>
    <col min="2" max="2" width="27.140625" bestFit="1" customWidth="1"/>
  </cols>
  <sheetData>
    <row r="1" spans="1:2">
      <c r="A1" s="8" t="s">
        <v>4</v>
      </c>
      <c r="B1" t="s">
        <v>19</v>
      </c>
    </row>
    <row r="3" spans="1:2">
      <c r="A3" s="8" t="s">
        <v>3</v>
      </c>
      <c r="B3" t="s">
        <v>221</v>
      </c>
    </row>
    <row r="4" spans="1:2">
      <c r="A4" t="s">
        <v>18</v>
      </c>
      <c r="B4" s="9">
        <v>105273</v>
      </c>
    </row>
    <row r="5" spans="1:2">
      <c r="A5" t="s">
        <v>69</v>
      </c>
      <c r="B5" s="9">
        <v>94089</v>
      </c>
    </row>
    <row r="6" spans="1:2">
      <c r="A6" t="s">
        <v>38</v>
      </c>
      <c r="B6" s="9">
        <v>82806</v>
      </c>
    </row>
    <row r="7" spans="1:2">
      <c r="A7" t="s">
        <v>35</v>
      </c>
      <c r="B7" s="9">
        <v>65473</v>
      </c>
    </row>
    <row r="8" spans="1:2">
      <c r="A8" t="s">
        <v>50</v>
      </c>
      <c r="B8" s="9">
        <v>59773</v>
      </c>
    </row>
    <row r="9" spans="1:2">
      <c r="A9" t="s">
        <v>31</v>
      </c>
      <c r="B9" s="9">
        <v>48873</v>
      </c>
    </row>
    <row r="10" spans="1:2">
      <c r="A10" t="s">
        <v>222</v>
      </c>
      <c r="B10" s="9">
        <v>456287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E734-327B-45B2-B5E9-00E2F3FB081E}">
  <dimension ref="A1:B8"/>
  <sheetViews>
    <sheetView workbookViewId="0">
      <selection activeCell="F7" sqref="F7"/>
    </sheetView>
  </sheetViews>
  <sheetFormatPr defaultRowHeight="15"/>
  <cols>
    <col min="1" max="1" width="15.140625" bestFit="1" customWidth="1"/>
    <col min="2" max="2" width="27.140625" bestFit="1" customWidth="1"/>
  </cols>
  <sheetData>
    <row r="1" spans="1:2">
      <c r="A1" s="8" t="s">
        <v>4</v>
      </c>
      <c r="B1" t="s">
        <v>19</v>
      </c>
    </row>
    <row r="3" spans="1:2">
      <c r="A3" s="8" t="s">
        <v>2</v>
      </c>
      <c r="B3" t="s">
        <v>221</v>
      </c>
    </row>
    <row r="4" spans="1:2">
      <c r="A4" t="s">
        <v>17</v>
      </c>
      <c r="B4" s="9">
        <v>134953</v>
      </c>
    </row>
    <row r="5" spans="1:2">
      <c r="A5" t="s">
        <v>37</v>
      </c>
      <c r="B5" s="9">
        <v>126197</v>
      </c>
    </row>
    <row r="6" spans="1:2">
      <c r="A6" t="s">
        <v>30</v>
      </c>
      <c r="B6" s="9">
        <v>98095</v>
      </c>
    </row>
    <row r="7" spans="1:2">
      <c r="A7" t="s">
        <v>24</v>
      </c>
      <c r="B7" s="9">
        <v>97042</v>
      </c>
    </row>
    <row r="8" spans="1:2">
      <c r="A8" t="s">
        <v>222</v>
      </c>
      <c r="B8" s="9">
        <v>456287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545AA-47A1-4692-8249-C2378A79A0C9}">
  <dimension ref="A2:B9"/>
  <sheetViews>
    <sheetView workbookViewId="0">
      <selection activeCell="B10" sqref="B10"/>
    </sheetView>
  </sheetViews>
  <sheetFormatPr defaultRowHeight="15"/>
  <cols>
    <col min="1" max="1" width="41.42578125" bestFit="1" customWidth="1"/>
    <col min="2" max="2" width="15.5703125" bestFit="1" customWidth="1"/>
  </cols>
  <sheetData>
    <row r="2" spans="1:2" ht="15.75">
      <c r="A2" s="3" t="s">
        <v>223</v>
      </c>
      <c r="B2" s="3">
        <f>COUNTA('Main Work'!A2:A181)</f>
        <v>180</v>
      </c>
    </row>
    <row r="3" spans="1:2" ht="15.75">
      <c r="A3" s="3" t="s">
        <v>13</v>
      </c>
      <c r="B3" s="3">
        <f>SUMIF('Main Work'!E2:E181,"Revenue",'Main Work'!F2:F181)</f>
        <v>318721</v>
      </c>
    </row>
    <row r="4" spans="1:2" ht="15.75">
      <c r="A4" s="3" t="s">
        <v>14</v>
      </c>
      <c r="B4" s="3">
        <f>SUMIF('Main Work'!E2:E181,"Expense",'Main Work'!F2:F181)</f>
        <v>456287</v>
      </c>
    </row>
    <row r="5" spans="1:2" ht="15.75">
      <c r="A5" s="3" t="s">
        <v>224</v>
      </c>
      <c r="B5" s="3">
        <f>B3-B4</f>
        <v>-137566</v>
      </c>
    </row>
    <row r="6" spans="1:2" ht="15.75">
      <c r="A6" s="3" t="s">
        <v>225</v>
      </c>
      <c r="B6" s="3" t="str">
        <f>'Highest Expense Category'!A4</f>
        <v>Office Supplies</v>
      </c>
    </row>
    <row r="7" spans="1:2" ht="15.75">
      <c r="A7" s="3" t="s">
        <v>226</v>
      </c>
      <c r="B7" s="3">
        <f>'Highest Expense Category'!B4</f>
        <v>105273</v>
      </c>
    </row>
    <row r="8" spans="1:2" ht="15.75">
      <c r="A8" s="3" t="s">
        <v>227</v>
      </c>
      <c r="B8" s="3" t="str">
        <f>'Department with Expenses'!A4</f>
        <v>Sales</v>
      </c>
    </row>
    <row r="9" spans="1:2" ht="15.75">
      <c r="A9" s="3" t="s">
        <v>228</v>
      </c>
      <c r="B9" s="3">
        <f>'Department with Expenses'!B4</f>
        <v>134953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2BA0-FB98-43CE-89B8-DBCCE82D3188}">
  <dimension ref="A1:B5"/>
  <sheetViews>
    <sheetView workbookViewId="0">
      <selection activeCell="B6" sqref="B6"/>
    </sheetView>
  </sheetViews>
  <sheetFormatPr defaultRowHeight="15.75"/>
  <cols>
    <col min="1" max="1" width="19.28515625" style="3" bestFit="1" customWidth="1"/>
    <col min="2" max="16384" width="9.140625" style="3"/>
  </cols>
  <sheetData>
    <row r="1" spans="1:2">
      <c r="A1" s="10" t="s">
        <v>229</v>
      </c>
    </row>
    <row r="2" spans="1:2">
      <c r="A2" s="3" t="s">
        <v>13</v>
      </c>
      <c r="B2" s="3">
        <f>SUMIFS('Main Work'!F2:F181,'Main Work'!E2:E181,"Revenue")</f>
        <v>318721</v>
      </c>
    </row>
    <row r="3" spans="1:2">
      <c r="A3" s="3" t="s">
        <v>230</v>
      </c>
      <c r="B3" s="3">
        <f>SUMIFS('Main Work'!F2:F181,'Main Work'!E2:E181,"Expense")</f>
        <v>456287</v>
      </c>
    </row>
    <row r="4" spans="1:2">
      <c r="A4" s="3" t="s">
        <v>15</v>
      </c>
      <c r="B4" s="3">
        <f>B2-B3</f>
        <v>-137566</v>
      </c>
    </row>
    <row r="5" spans="1:2">
      <c r="A5" s="3" t="s">
        <v>231</v>
      </c>
      <c r="B5" s="3">
        <f>B4/B2</f>
        <v>-0.43161887669780152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EC7-4730-4F6A-B0FA-EAD34941BD41}">
  <dimension ref="A1:D13"/>
  <sheetViews>
    <sheetView workbookViewId="0">
      <selection activeCell="E3" sqref="E3"/>
    </sheetView>
  </sheetViews>
  <sheetFormatPr defaultRowHeight="15.75"/>
  <cols>
    <col min="1" max="1" width="10.85546875" style="3" bestFit="1" customWidth="1"/>
    <col min="2" max="2" width="9.140625" style="3"/>
    <col min="3" max="3" width="9.7109375" style="3" bestFit="1" customWidth="1"/>
    <col min="4" max="16384" width="9.140625" style="3"/>
  </cols>
  <sheetData>
    <row r="1" spans="1:4">
      <c r="A1" s="3" t="s">
        <v>9</v>
      </c>
      <c r="B1" s="3" t="s">
        <v>25</v>
      </c>
      <c r="C1" s="3" t="s">
        <v>232</v>
      </c>
      <c r="D1" s="3" t="s">
        <v>15</v>
      </c>
    </row>
    <row r="2" spans="1:4">
      <c r="A2" s="3" t="s">
        <v>42</v>
      </c>
      <c r="B2" s="3">
        <f>SUMIFS('Main Work'!F$2:F$181,'Main Work'!E$2:E$181,"Revenue",'Main Work'!J$2:J$181,A2)</f>
        <v>35345</v>
      </c>
      <c r="C2" s="3">
        <f>SUMIFS('Main Work'!F$2:F$181,'Main Work'!E$2:E$181,"Expense",'Main Work'!J$2:J$181,A2)</f>
        <v>63670</v>
      </c>
      <c r="D2" s="3">
        <f>B2-C2</f>
        <v>-28325</v>
      </c>
    </row>
    <row r="3" spans="1:4">
      <c r="A3" s="3" t="s">
        <v>48</v>
      </c>
      <c r="B3" s="3">
        <f>SUMIFS('Main Work'!F$2:F$181,'Main Work'!E$2:E$181,"Revenue",'Main Work'!J$2:J$181,A3)</f>
        <v>66064</v>
      </c>
      <c r="C3" s="3">
        <f>SUMIFS('Main Work'!F$2:F$181,'Main Work'!E$2:E$181,"Expense",'Main Work'!J$2:J$181,A3)</f>
        <v>87107</v>
      </c>
      <c r="D3" s="3">
        <f t="shared" ref="D3:D13" si="0">B3-C3</f>
        <v>-21043</v>
      </c>
    </row>
    <row r="4" spans="1:4">
      <c r="A4" s="3" t="s">
        <v>22</v>
      </c>
      <c r="B4" s="3">
        <f>SUMIFS('Main Work'!F$2:F$181,'Main Work'!E$2:E$181,"Revenue",'Main Work'!J$2:J$181,A4)</f>
        <v>50426</v>
      </c>
      <c r="C4" s="3">
        <f>SUMIFS('Main Work'!F$2:F$181,'Main Work'!E$2:E$181,"Expense",'Main Work'!J$2:J$181,A4)</f>
        <v>67673</v>
      </c>
      <c r="D4" s="3">
        <f t="shared" si="0"/>
        <v>-17247</v>
      </c>
    </row>
    <row r="5" spans="1:4">
      <c r="A5" s="3" t="s">
        <v>28</v>
      </c>
      <c r="B5" s="3">
        <f>SUMIFS('Main Work'!F$2:F$181,'Main Work'!E$2:E$181,"Revenue",'Main Work'!J$2:J$181,A5)</f>
        <v>98466</v>
      </c>
      <c r="C5" s="3">
        <f>SUMIFS('Main Work'!F$2:F$181,'Main Work'!E$2:E$181,"Expense",'Main Work'!J$2:J$181,A5)</f>
        <v>82335</v>
      </c>
      <c r="D5" s="3">
        <f t="shared" si="0"/>
        <v>16131</v>
      </c>
    </row>
    <row r="6" spans="1:4">
      <c r="A6" s="3" t="s">
        <v>33</v>
      </c>
      <c r="B6" s="3">
        <f>SUMIFS('Main Work'!F$2:F$181,'Main Work'!E$2:E$181,"Revenue",'Main Work'!J$2:J$181,A6)</f>
        <v>38665</v>
      </c>
      <c r="C6" s="3">
        <f>SUMIFS('Main Work'!F$2:F$181,'Main Work'!E$2:E$181,"Expense",'Main Work'!J$2:J$181,A6)</f>
        <v>75276</v>
      </c>
      <c r="D6" s="3">
        <f t="shared" si="0"/>
        <v>-36611</v>
      </c>
    </row>
    <row r="7" spans="1:4">
      <c r="A7" s="3" t="s">
        <v>40</v>
      </c>
      <c r="B7" s="3">
        <f>SUMIFS('Main Work'!F$2:F$181,'Main Work'!E$2:E$181,"Revenue",'Main Work'!J$2:J$181,A7)</f>
        <v>29755</v>
      </c>
      <c r="C7" s="3">
        <f>SUMIFS('Main Work'!F$2:F$181,'Main Work'!E$2:E$181,"Expense",'Main Work'!J$2:J$181,A7)</f>
        <v>80226</v>
      </c>
      <c r="D7" s="3">
        <f t="shared" si="0"/>
        <v>-50471</v>
      </c>
    </row>
    <row r="8" spans="1:4">
      <c r="A8" s="3" t="s">
        <v>233</v>
      </c>
      <c r="B8" s="3">
        <f>SUMIFS('Main Work'!F$2:F$181,'Main Work'!E$2:E$181,"Revenue",'Main Work'!J$2:J$181,A8)</f>
        <v>0</v>
      </c>
      <c r="C8" s="3">
        <f>SUMIFS('Main Work'!F$2:F$181,'Main Work'!E$2:E$181,"Expense",'Main Work'!J$2:J$181,A8)</f>
        <v>0</v>
      </c>
      <c r="D8" s="3">
        <f t="shared" si="0"/>
        <v>0</v>
      </c>
    </row>
    <row r="9" spans="1:4">
      <c r="A9" s="3" t="s">
        <v>234</v>
      </c>
      <c r="B9" s="3">
        <f>SUMIFS('Main Work'!F$2:F$181,'Main Work'!E$2:E$181,"Revenue",'Main Work'!J$2:J$181,A9)</f>
        <v>0</v>
      </c>
      <c r="C9" s="3">
        <f>SUMIFS('Main Work'!F$2:F$181,'Main Work'!E$2:E$181,"Expense",'Main Work'!J$2:J$181,A9)</f>
        <v>0</v>
      </c>
      <c r="D9" s="3">
        <f t="shared" si="0"/>
        <v>0</v>
      </c>
    </row>
    <row r="10" spans="1:4">
      <c r="A10" s="3" t="s">
        <v>235</v>
      </c>
      <c r="B10" s="3">
        <f>SUMIFS('Main Work'!F$2:F$181,'Main Work'!E$2:E$181,"Revenue",'Main Work'!J$2:J$181,A10)</f>
        <v>0</v>
      </c>
      <c r="C10" s="3">
        <f>SUMIFS('Main Work'!F$2:F$181,'Main Work'!E$2:E$181,"Expense",'Main Work'!J$2:J$181,A10)</f>
        <v>0</v>
      </c>
      <c r="D10" s="3">
        <f t="shared" si="0"/>
        <v>0</v>
      </c>
    </row>
    <row r="11" spans="1:4">
      <c r="A11" s="3" t="s">
        <v>236</v>
      </c>
      <c r="B11" s="3">
        <f>SUMIFS('Main Work'!F$2:F$181,'Main Work'!E$2:E$181,"Revenue",'Main Work'!J$2:J$181,A11)</f>
        <v>0</v>
      </c>
      <c r="C11" s="3">
        <f>SUMIFS('Main Work'!F$2:F$181,'Main Work'!E$2:E$181,"Expense",'Main Work'!J$2:J$181,A11)</f>
        <v>0</v>
      </c>
      <c r="D11" s="3">
        <f t="shared" si="0"/>
        <v>0</v>
      </c>
    </row>
    <row r="12" spans="1:4">
      <c r="A12" s="3" t="s">
        <v>237</v>
      </c>
      <c r="B12" s="3">
        <f>SUMIFS('Main Work'!F$2:F$181,'Main Work'!E$2:E$181,"Revenue",'Main Work'!J$2:J$181,A12)</f>
        <v>0</v>
      </c>
      <c r="C12" s="3">
        <f>SUMIFS('Main Work'!F$2:F$181,'Main Work'!E$2:E$181,"Expense",'Main Work'!J$2:J$181,A12)</f>
        <v>0</v>
      </c>
      <c r="D12" s="3">
        <f t="shared" si="0"/>
        <v>0</v>
      </c>
    </row>
    <row r="13" spans="1:4">
      <c r="A13" s="3" t="s">
        <v>238</v>
      </c>
      <c r="B13" s="3">
        <f>SUMIFS('Main Work'!F$2:F$181,'Main Work'!E$2:E$181,"Revenue",'Main Work'!J$2:J$181,A13)</f>
        <v>0</v>
      </c>
      <c r="C13" s="3">
        <f>SUMIFS('Main Work'!F$2:F$181,'Main Work'!E$2:E$181,"Expense",'Main Work'!J$2:J$181,A13)</f>
        <v>0</v>
      </c>
      <c r="D13" s="3">
        <f t="shared" si="0"/>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8F19-7B45-41D1-9B6A-AE1283122E51}">
  <dimension ref="A1:E5"/>
  <sheetViews>
    <sheetView workbookViewId="0">
      <selection activeCell="H4" sqref="H4"/>
    </sheetView>
  </sheetViews>
  <sheetFormatPr defaultRowHeight="15.75"/>
  <cols>
    <col min="1" max="1" width="15.140625" style="3" bestFit="1" customWidth="1"/>
    <col min="2" max="4" width="9.140625" style="3"/>
    <col min="5" max="5" width="10.28515625" style="3" bestFit="1" customWidth="1"/>
    <col min="6" max="16384" width="9.140625" style="3"/>
  </cols>
  <sheetData>
    <row r="1" spans="1:5">
      <c r="A1" s="3" t="s">
        <v>2</v>
      </c>
      <c r="B1" s="3" t="s">
        <v>239</v>
      </c>
      <c r="C1" s="3" t="s">
        <v>240</v>
      </c>
      <c r="D1" s="3" t="s">
        <v>11</v>
      </c>
      <c r="E1" s="3" t="s">
        <v>241</v>
      </c>
    </row>
    <row r="2" spans="1:5">
      <c r="A2" s="3" t="str" cm="1">
        <f t="array" ref="A2:A5">_xlfn.UNIQUE('Main Work'!C2:C181)</f>
        <v>Sales</v>
      </c>
      <c r="B2" s="3">
        <f>SUMIFS('Main Work'!F$2:F$181,'Main Work'!C$2:C$181,A2,'Main Work'!E$2:E$181,"Expense")</f>
        <v>134953</v>
      </c>
      <c r="C2" s="3">
        <f>SUMIFS('Main Work'!G$2:G$181,'Main Work'!C$2:C$181,A2,'Main Work'!E$2:E$181,"Expense")</f>
        <v>138305</v>
      </c>
      <c r="D2" s="3">
        <f>B2-C2</f>
        <v>-3352</v>
      </c>
      <c r="E2" s="11">
        <f>D2/C2</f>
        <v>-2.4236289360471421E-2</v>
      </c>
    </row>
    <row r="3" spans="1:5">
      <c r="A3" s="3" t="str">
        <v>Administration</v>
      </c>
      <c r="B3" s="3">
        <f>SUMIFS('Main Work'!F$2:F$181,'Main Work'!C$2:C$181,A3,'Main Work'!E$2:E$181,"Expense")</f>
        <v>97042</v>
      </c>
      <c r="C3" s="3">
        <f>SUMIFS('Main Work'!G$2:G$181,'Main Work'!C$2:C$181,A3,'Main Work'!E$2:E$181,"Expense")</f>
        <v>100097</v>
      </c>
      <c r="D3" s="3">
        <f t="shared" ref="D3:D5" si="0">B3-C3</f>
        <v>-3055</v>
      </c>
      <c r="E3" s="11">
        <f t="shared" ref="E3:E5" si="1">D3/C3</f>
        <v>-3.0520395216639858E-2</v>
      </c>
    </row>
    <row r="4" spans="1:5">
      <c r="A4" s="3" t="str">
        <v>Operations</v>
      </c>
      <c r="B4" s="3">
        <f>SUMIFS('Main Work'!F$2:F$181,'Main Work'!C$2:C$181,A4,'Main Work'!E$2:E$181,"Expense")</f>
        <v>98095</v>
      </c>
      <c r="C4" s="3">
        <f>SUMIFS('Main Work'!G$2:G$181,'Main Work'!C$2:C$181,A4,'Main Work'!E$2:E$181,"Expense")</f>
        <v>102026</v>
      </c>
      <c r="D4" s="3">
        <f t="shared" si="0"/>
        <v>-3931</v>
      </c>
      <c r="E4" s="11">
        <f t="shared" si="1"/>
        <v>-3.8529394468076766E-2</v>
      </c>
    </row>
    <row r="5" spans="1:5">
      <c r="A5" s="3" t="str">
        <v>Finance</v>
      </c>
      <c r="B5" s="3">
        <f>SUMIFS('Main Work'!F$2:F$181,'Main Work'!C$2:C$181,A5,'Main Work'!E$2:E$181,"Expense")</f>
        <v>126197</v>
      </c>
      <c r="C5" s="3">
        <f>SUMIFS('Main Work'!G$2:G$181,'Main Work'!C$2:C$181,A5,'Main Work'!E$2:E$181,"Expense")</f>
        <v>131865</v>
      </c>
      <c r="D5" s="3">
        <f t="shared" si="0"/>
        <v>-5668</v>
      </c>
      <c r="E5" s="11">
        <f t="shared" si="1"/>
        <v>-4.2983354187995301E-2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FD93-614A-4FDD-BAAD-454EFC0C521D}">
  <dimension ref="A1:E9"/>
  <sheetViews>
    <sheetView workbookViewId="0">
      <selection activeCell="H9" sqref="H9"/>
    </sheetView>
  </sheetViews>
  <sheetFormatPr defaultRowHeight="15.75"/>
  <cols>
    <col min="1" max="1" width="15.5703125" style="3" bestFit="1" customWidth="1"/>
    <col min="2" max="3" width="9.140625" style="3"/>
    <col min="4" max="4" width="9.42578125" style="3" bestFit="1" customWidth="1"/>
    <col min="5" max="5" width="11.28515625" style="3" bestFit="1" customWidth="1"/>
    <col min="6" max="16384" width="9.140625" style="3"/>
  </cols>
  <sheetData>
    <row r="1" spans="1:5">
      <c r="A1" s="3" t="s">
        <v>3</v>
      </c>
      <c r="B1" s="3" t="s">
        <v>239</v>
      </c>
      <c r="C1" s="3" t="s">
        <v>240</v>
      </c>
      <c r="D1" s="3" t="s">
        <v>11</v>
      </c>
      <c r="E1" s="3" t="s">
        <v>241</v>
      </c>
    </row>
    <row r="2" spans="1:5">
      <c r="A2" s="3" t="str" cm="1">
        <f t="array" ref="A2:A9">_xlfn.UNIQUE('Main Work'!D2:D181)</f>
        <v>Office Supplies</v>
      </c>
      <c r="B2" s="3">
        <f>SUMIFS('Main Work'!F$2:F$181,'Main Work'!D$2:D$181,A2,'Main Work'!E$2:E$181,"Expense")</f>
        <v>105273</v>
      </c>
      <c r="C2" s="3">
        <f>SUMIFS('Main Work'!G$2:G$181,'Main Work'!D$2:D$181,A2,'Main Work'!E$2:E$181,"Expense")</f>
        <v>107266</v>
      </c>
      <c r="D2" s="3">
        <f>B2-C2</f>
        <v>-1993</v>
      </c>
      <c r="E2" s="11">
        <f>IFERROR(D2/C2,0)</f>
        <v>-1.8579978744429737E-2</v>
      </c>
    </row>
    <row r="3" spans="1:5">
      <c r="A3" s="3" t="str">
        <v>Sales</v>
      </c>
      <c r="B3" s="3">
        <f>SUMIFS('Main Work'!F$2:F$181,'Main Work'!D$2:D$181,A3,'Main Work'!E$2:E$181,"Expense")</f>
        <v>0</v>
      </c>
      <c r="C3" s="3">
        <f>SUMIFS('Main Work'!G$2:G$181,'Main Work'!D$2:D$181,A3,'Main Work'!E$2:E$181,"Expense")</f>
        <v>0</v>
      </c>
      <c r="D3" s="3">
        <f t="shared" ref="D3:D9" si="0">B3-C3</f>
        <v>0</v>
      </c>
      <c r="E3" s="11">
        <f t="shared" ref="E3:E9" si="1">IFERROR(D3/C3,0)</f>
        <v>0</v>
      </c>
    </row>
    <row r="4" spans="1:5">
      <c r="A4" s="3" t="str">
        <v>Utilities</v>
      </c>
      <c r="B4" s="3">
        <f>SUMIFS('Main Work'!F$2:F$181,'Main Work'!D$2:D$181,A4,'Main Work'!E$2:E$181,"Expense")</f>
        <v>48873</v>
      </c>
      <c r="C4" s="3">
        <f>SUMIFS('Main Work'!G$2:G$181,'Main Work'!D$2:D$181,A4,'Main Work'!E$2:E$181,"Expense")</f>
        <v>52456</v>
      </c>
      <c r="D4" s="3">
        <f t="shared" si="0"/>
        <v>-3583</v>
      </c>
      <c r="E4" s="11">
        <f t="shared" si="1"/>
        <v>-6.8304865029739203E-2</v>
      </c>
    </row>
    <row r="5" spans="1:5">
      <c r="A5" s="3" t="str">
        <v>Rent</v>
      </c>
      <c r="B5" s="3">
        <f>SUMIFS('Main Work'!F$2:F$181,'Main Work'!D$2:D$181,A5,'Main Work'!E$2:E$181,"Expense")</f>
        <v>65473</v>
      </c>
      <c r="C5" s="3">
        <f>SUMIFS('Main Work'!G$2:G$181,'Main Work'!D$2:D$181,A5,'Main Work'!E$2:E$181,"Expense")</f>
        <v>68748</v>
      </c>
      <c r="D5" s="3">
        <f t="shared" si="0"/>
        <v>-3275</v>
      </c>
      <c r="E5" s="11">
        <f t="shared" si="1"/>
        <v>-4.7637749461802527E-2</v>
      </c>
    </row>
    <row r="6" spans="1:5">
      <c r="A6" s="3" t="str">
        <v>Marketing</v>
      </c>
      <c r="B6" s="3">
        <f>SUMIFS('Main Work'!F$2:F$181,'Main Work'!D$2:D$181,A6,'Main Work'!E$2:E$181,"Expense")</f>
        <v>82806</v>
      </c>
      <c r="C6" s="3">
        <f>SUMIFS('Main Work'!G$2:G$181,'Main Work'!D$2:D$181,A6,'Main Work'!E$2:E$181,"Expense")</f>
        <v>83090</v>
      </c>
      <c r="D6" s="3">
        <f t="shared" si="0"/>
        <v>-284</v>
      </c>
      <c r="E6" s="11">
        <f t="shared" si="1"/>
        <v>-3.4179805030689612E-3</v>
      </c>
    </row>
    <row r="7" spans="1:5">
      <c r="A7" s="3" t="str">
        <v>Consulting</v>
      </c>
      <c r="B7" s="3">
        <f>SUMIFS('Main Work'!F$2:F$181,'Main Work'!D$2:D$181,A7,'Main Work'!E$2:E$181,"Expense")</f>
        <v>0</v>
      </c>
      <c r="C7" s="3">
        <f>SUMIFS('Main Work'!G$2:G$181,'Main Work'!D$2:D$181,A7,'Main Work'!E$2:E$181,"Expense")</f>
        <v>0</v>
      </c>
      <c r="D7" s="3">
        <f t="shared" si="0"/>
        <v>0</v>
      </c>
      <c r="E7" s="11">
        <f t="shared" si="1"/>
        <v>0</v>
      </c>
    </row>
    <row r="8" spans="1:5">
      <c r="A8" s="3" t="str">
        <v>Transport</v>
      </c>
      <c r="B8" s="3">
        <f>SUMIFS('Main Work'!F$2:F$181,'Main Work'!D$2:D$181,A8,'Main Work'!E$2:E$181,"Expense")</f>
        <v>59773</v>
      </c>
      <c r="C8" s="3">
        <f>SUMIFS('Main Work'!G$2:G$181,'Main Work'!D$2:D$181,A8,'Main Work'!E$2:E$181,"Expense")</f>
        <v>60968</v>
      </c>
      <c r="D8" s="3">
        <f t="shared" si="0"/>
        <v>-1195</v>
      </c>
      <c r="E8" s="11">
        <f t="shared" si="1"/>
        <v>-1.9600446135677733E-2</v>
      </c>
    </row>
    <row r="9" spans="1:5">
      <c r="A9" s="3" t="str">
        <v>Software</v>
      </c>
      <c r="B9" s="3">
        <f>SUMIFS('Main Work'!F$2:F$181,'Main Work'!D$2:D$181,A9,'Main Work'!E$2:E$181,"Expense")</f>
        <v>94089</v>
      </c>
      <c r="C9" s="3">
        <f>SUMIFS('Main Work'!G$2:G$181,'Main Work'!D$2:D$181,A9,'Main Work'!E$2:E$181,"Expense")</f>
        <v>99765</v>
      </c>
      <c r="D9" s="3">
        <f t="shared" si="0"/>
        <v>-5676</v>
      </c>
      <c r="E9" s="11">
        <f t="shared" si="1"/>
        <v>-5.6893700195459328E-2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FE54-40D5-4514-AE99-7B5810D9753B}">
  <dimension ref="A1:B10"/>
  <sheetViews>
    <sheetView workbookViewId="0">
      <selection activeCell="M9" sqref="M9"/>
    </sheetView>
  </sheetViews>
  <sheetFormatPr defaultRowHeight="15"/>
  <cols>
    <col min="1" max="1" width="14.140625" bestFit="1" customWidth="1"/>
    <col min="2" max="2" width="27.140625" bestFit="1" customWidth="1"/>
  </cols>
  <sheetData>
    <row r="1" spans="1:2">
      <c r="A1" s="8" t="s">
        <v>4</v>
      </c>
      <c r="B1" t="s">
        <v>19</v>
      </c>
    </row>
    <row r="3" spans="1:2">
      <c r="A3" s="8" t="s">
        <v>3</v>
      </c>
      <c r="B3" t="s">
        <v>221</v>
      </c>
    </row>
    <row r="4" spans="1:2">
      <c r="A4" t="s">
        <v>18</v>
      </c>
      <c r="B4" s="9">
        <v>105273</v>
      </c>
    </row>
    <row r="5" spans="1:2">
      <c r="A5" t="s">
        <v>69</v>
      </c>
      <c r="B5" s="9">
        <v>94089</v>
      </c>
    </row>
    <row r="6" spans="1:2">
      <c r="A6" t="s">
        <v>38</v>
      </c>
      <c r="B6" s="9">
        <v>82806</v>
      </c>
    </row>
    <row r="7" spans="1:2">
      <c r="A7" t="s">
        <v>35</v>
      </c>
      <c r="B7" s="9">
        <v>65473</v>
      </c>
    </row>
    <row r="8" spans="1:2">
      <c r="A8" t="s">
        <v>50</v>
      </c>
      <c r="B8" s="9">
        <v>59773</v>
      </c>
    </row>
    <row r="9" spans="1:2">
      <c r="A9" t="s">
        <v>31</v>
      </c>
      <c r="B9" s="9">
        <v>48873</v>
      </c>
    </row>
    <row r="10" spans="1:2">
      <c r="A10" t="s">
        <v>222</v>
      </c>
      <c r="B10" s="9">
        <v>456287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F9D33-2C31-407E-A100-F167E48A2944}">
  <dimension ref="A1:B8"/>
  <sheetViews>
    <sheetView workbookViewId="0">
      <selection activeCell="F8" sqref="F8"/>
    </sheetView>
  </sheetViews>
  <sheetFormatPr defaultRowHeight="15"/>
  <cols>
    <col min="1" max="1" width="15.140625" bestFit="1" customWidth="1"/>
    <col min="2" max="2" width="27.140625" bestFit="1" customWidth="1"/>
  </cols>
  <sheetData>
    <row r="1" spans="1:2">
      <c r="A1" s="8" t="s">
        <v>4</v>
      </c>
      <c r="B1" t="s">
        <v>19</v>
      </c>
    </row>
    <row r="3" spans="1:2">
      <c r="A3" s="8" t="s">
        <v>2</v>
      </c>
      <c r="B3" t="s">
        <v>221</v>
      </c>
    </row>
    <row r="4" spans="1:2">
      <c r="A4" t="s">
        <v>17</v>
      </c>
      <c r="B4" s="9">
        <v>134953</v>
      </c>
    </row>
    <row r="5" spans="1:2">
      <c r="A5" t="s">
        <v>37</v>
      </c>
      <c r="B5" s="9">
        <v>126197</v>
      </c>
    </row>
    <row r="6" spans="1:2">
      <c r="A6" t="s">
        <v>30</v>
      </c>
      <c r="B6" s="9">
        <v>98095</v>
      </c>
    </row>
    <row r="7" spans="1:2">
      <c r="A7" t="s">
        <v>24</v>
      </c>
      <c r="B7" s="9">
        <v>97042</v>
      </c>
    </row>
    <row r="8" spans="1:2">
      <c r="A8" t="s">
        <v>222</v>
      </c>
      <c r="B8" s="9">
        <v>456287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A35F-3523-4471-9743-09392D7E73DD}">
  <dimension ref="A1:B9"/>
  <sheetViews>
    <sheetView topLeftCell="A4" workbookViewId="0">
      <selection activeCell="A5" sqref="A5"/>
    </sheetView>
  </sheetViews>
  <sheetFormatPr defaultRowHeight="15.75"/>
  <cols>
    <col min="1" max="1" width="19.42578125" style="3" bestFit="1" customWidth="1"/>
    <col min="2" max="2" width="43.85546875" style="3" customWidth="1"/>
    <col min="3" max="16384" width="9.140625" style="3"/>
  </cols>
  <sheetData>
    <row r="1" spans="1:2">
      <c r="A1" s="3" t="s">
        <v>242</v>
      </c>
    </row>
    <row r="3" spans="1:2">
      <c r="B3" s="3" t="s">
        <v>242</v>
      </c>
    </row>
    <row r="4" spans="1:2" ht="91.5">
      <c r="A4" s="3" t="s">
        <v>243</v>
      </c>
      <c r="B4" s="12" t="s">
        <v>244</v>
      </c>
    </row>
    <row r="5" spans="1:2" ht="91.5">
      <c r="A5" s="3" t="s">
        <v>245</v>
      </c>
      <c r="B5" s="12" t="s">
        <v>246</v>
      </c>
    </row>
    <row r="6" spans="1:2" ht="107.25">
      <c r="A6" s="3" t="s">
        <v>247</v>
      </c>
      <c r="B6" s="12" t="s">
        <v>248</v>
      </c>
    </row>
    <row r="7" spans="1:2" ht="121.5">
      <c r="A7" s="3" t="s">
        <v>249</v>
      </c>
      <c r="B7" s="12" t="s">
        <v>250</v>
      </c>
    </row>
    <row r="8" spans="1:2" ht="107.25">
      <c r="A8" s="3" t="s">
        <v>251</v>
      </c>
      <c r="B8" s="12" t="s">
        <v>252</v>
      </c>
    </row>
    <row r="9" spans="1:2" ht="107.25">
      <c r="A9" s="3" t="s">
        <v>253</v>
      </c>
      <c r="B9" s="12" t="s">
        <v>254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65FA-11C9-4845-874E-9E2E3B4E38BC}">
  <dimension ref="A1:H3"/>
  <sheetViews>
    <sheetView tabSelected="1" topLeftCell="A6" workbookViewId="0">
      <selection activeCell="B11" sqref="B11"/>
    </sheetView>
  </sheetViews>
  <sheetFormatPr defaultRowHeight="15.75"/>
  <cols>
    <col min="1" max="1" width="49.7109375" style="3" bestFit="1" customWidth="1"/>
    <col min="2" max="2" width="9.140625" style="3"/>
    <col min="3" max="3" width="14.28515625" style="3" bestFit="1" customWidth="1"/>
    <col min="4" max="4" width="9.140625" style="3"/>
    <col min="5" max="5" width="12.85546875" style="3" bestFit="1" customWidth="1"/>
    <col min="6" max="6" width="9.140625" style="3"/>
    <col min="7" max="7" width="13.7109375" style="3" bestFit="1" customWidth="1"/>
    <col min="8" max="16384" width="9.140625" style="3"/>
  </cols>
  <sheetData>
    <row r="1" spans="1:8">
      <c r="A1" s="10" t="s">
        <v>255</v>
      </c>
    </row>
    <row r="3" spans="1:8">
      <c r="A3" s="10" t="s">
        <v>13</v>
      </c>
      <c r="B3" s="3">
        <v>318721</v>
      </c>
      <c r="C3" s="10" t="s">
        <v>14</v>
      </c>
      <c r="D3" s="3">
        <v>456287</v>
      </c>
      <c r="E3" s="10" t="s">
        <v>256</v>
      </c>
      <c r="F3" s="3">
        <v>-137566</v>
      </c>
      <c r="G3" s="10" t="s">
        <v>231</v>
      </c>
      <c r="H3" s="11">
        <v>-0.43159999999999998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2026-09-29T15:19:05Z</dcterms:created>
  <dcterms:modified xsi:type="dcterms:W3CDTF">2026-09-30T15:25:43Z</dcterms:modified>
  <cp:category/>
  <cp:contentStatus/>
</cp:coreProperties>
</file>